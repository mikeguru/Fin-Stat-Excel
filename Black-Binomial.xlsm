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showInkAnnotation="0" codeName="ThisWorkbook"/>
  <mc:AlternateContent xmlns:mc="http://schemas.openxmlformats.org/markup-compatibility/2006">
    <mc:Choice Requires="x15">
      <x15ac:absPath xmlns:x15ac="http://schemas.microsoft.com/office/spreadsheetml/2010/11/ac" url="C:\Users\User\Desktop\Current Year\WorldQuant\WQU 601 Financial Markets I\project\Wen_Jiang-Final_Project-12.12.2017\"/>
    </mc:Choice>
  </mc:AlternateContent>
  <xr:revisionPtr revIDLastSave="0" documentId="12_ncr:500000_{BEF70663-B2F4-4682-953B-8893AA24DEB5}" xr6:coauthVersionLast="31" xr6:coauthVersionMax="31" xr10:uidLastSave="{00000000-0000-0000-0000-000000000000}"/>
  <bookViews>
    <workbookView xWindow="360" yWindow="16010" windowWidth="4300" windowHeight="730" firstSheet="1" activeTab="3" xr2:uid="{00000000-000D-0000-FFFF-FFFF00000000}"/>
  </bookViews>
  <sheets>
    <sheet name="MSFT" sheetId="5" r:id="rId1"/>
    <sheet name="Black_Scholes" sheetId="1" r:id="rId2"/>
    <sheet name="Black_Scholes_2" sheetId="6" r:id="rId3"/>
    <sheet name="Black_Scholes_VBA" sheetId="11" r:id="rId4"/>
    <sheet name="Binomial_model" sheetId="2" r:id="rId5"/>
  </sheets>
  <functionGroups builtInGroupCount="19"/>
  <definedNames>
    <definedName name="Dividend">Black_Scholes_VBA!$B$8</definedName>
    <definedName name="Dividend_Yield">Black_Scholes_VBA!$B$8</definedName>
    <definedName name="Dividend2">Black_Scholes_VBA!$B$8</definedName>
    <definedName name="Risk_Free_Rate">Black_Scholes_VBA!$B$7</definedName>
    <definedName name="RiskFreeRate">Black_Scholes_VBA!$B$6</definedName>
    <definedName name="Stock_Price">Black_Scholes_VBA!$B$3</definedName>
    <definedName name="StockPrice">Black_Scholes_VBA!$B$3</definedName>
    <definedName name="Strike_Price">Black_Scholes_VBA!$B$4</definedName>
    <definedName name="Time_To_Expiry">Black_Scholes_VBA!$B$5</definedName>
    <definedName name="TimeToExpiry">Black_Scholes_VBA!$B$5</definedName>
    <definedName name="Volatility">Black_Scholes_VBA!$B$6</definedName>
    <definedName name="Volatility2">Black_Scholes_VBA!$B$6</definedName>
  </definedNames>
  <calcPr calcId="162913"/>
</workbook>
</file>

<file path=xl/calcChain.xml><?xml version="1.0" encoding="utf-8"?>
<calcChain xmlns="http://schemas.openxmlformats.org/spreadsheetml/2006/main">
  <c r="F11" i="2" l="1"/>
  <c r="F9" i="2"/>
  <c r="H23" i="2" l="1"/>
  <c r="F22" i="2"/>
  <c r="F23" i="2" s="1"/>
  <c r="F24" i="2" s="1"/>
  <c r="F25" i="2" s="1"/>
  <c r="L19" i="2" l="1"/>
  <c r="L20" i="2" s="1"/>
  <c r="L25" i="2"/>
  <c r="L26" i="2" s="1"/>
  <c r="F7" i="11"/>
  <c r="F6" i="11"/>
  <c r="E6" i="11"/>
  <c r="E5" i="11"/>
  <c r="E4" i="11"/>
  <c r="E3" i="11"/>
  <c r="F3" i="11"/>
  <c r="F5" i="11"/>
  <c r="E7" i="11"/>
  <c r="F4" i="11"/>
  <c r="C5" i="6" l="1"/>
  <c r="H4" i="6" s="1"/>
  <c r="H5" i="6"/>
  <c r="C8" i="6"/>
  <c r="C4" i="6"/>
  <c r="C9" i="1"/>
  <c r="C6" i="1"/>
  <c r="C7" i="1"/>
  <c r="W26" i="5"/>
  <c r="V26" i="5"/>
  <c r="U26" i="5"/>
  <c r="T26" i="5"/>
  <c r="S16" i="5"/>
  <c r="S17" i="5"/>
  <c r="S18" i="5"/>
  <c r="S19" i="5"/>
  <c r="S20" i="5"/>
  <c r="S21" i="5"/>
  <c r="S22" i="5"/>
  <c r="S23" i="5"/>
  <c r="S24" i="5"/>
  <c r="S25" i="5"/>
  <c r="S26" i="5"/>
  <c r="S27" i="5"/>
  <c r="S28" i="5"/>
  <c r="S29" i="5"/>
  <c r="S30" i="5"/>
  <c r="S31" i="5"/>
  <c r="S32" i="5"/>
  <c r="S33" i="5"/>
  <c r="S34" i="5"/>
  <c r="S35" i="5"/>
  <c r="S36" i="5"/>
  <c r="S37" i="5"/>
  <c r="S38" i="5"/>
  <c r="S39" i="5"/>
  <c r="S40" i="5"/>
  <c r="S41" i="5"/>
  <c r="S42" i="5"/>
  <c r="S43" i="5"/>
  <c r="S44" i="5"/>
  <c r="S45" i="5"/>
  <c r="S46" i="5"/>
  <c r="S47" i="5"/>
  <c r="S48" i="5"/>
  <c r="S49" i="5"/>
  <c r="S50" i="5"/>
  <c r="S51" i="5"/>
  <c r="S52" i="5"/>
  <c r="S53" i="5"/>
  <c r="S54" i="5"/>
  <c r="S55" i="5"/>
  <c r="S56" i="5"/>
  <c r="S57" i="5"/>
  <c r="S58" i="5"/>
  <c r="S59" i="5"/>
  <c r="S60" i="5"/>
  <c r="S61" i="5"/>
  <c r="S62" i="5"/>
  <c r="S63" i="5"/>
  <c r="S64" i="5"/>
  <c r="S65" i="5"/>
  <c r="S66" i="5"/>
  <c r="S67" i="5"/>
  <c r="S68" i="5"/>
  <c r="S69" i="5"/>
  <c r="S70" i="5"/>
  <c r="S71" i="5"/>
  <c r="S72" i="5"/>
  <c r="S73" i="5"/>
  <c r="S74" i="5"/>
  <c r="S75" i="5"/>
  <c r="S76" i="5"/>
  <c r="S77" i="5"/>
  <c r="S78" i="5"/>
  <c r="S79" i="5"/>
  <c r="S80" i="5"/>
  <c r="S81" i="5"/>
  <c r="S82" i="5"/>
  <c r="S83" i="5"/>
  <c r="S84" i="5"/>
  <c r="S85" i="5"/>
  <c r="S86" i="5"/>
  <c r="S87" i="5"/>
  <c r="S88" i="5"/>
  <c r="S89" i="5"/>
  <c r="S90" i="5"/>
  <c r="S91" i="5"/>
  <c r="S92" i="5"/>
  <c r="S93" i="5"/>
  <c r="S94" i="5"/>
  <c r="S95" i="5"/>
  <c r="S96" i="5"/>
  <c r="S97" i="5"/>
  <c r="S98" i="5"/>
  <c r="S99" i="5"/>
  <c r="S100" i="5"/>
  <c r="S101" i="5"/>
  <c r="S102" i="5"/>
  <c r="S103" i="5"/>
  <c r="S104" i="5"/>
  <c r="S105" i="5"/>
  <c r="S106" i="5"/>
  <c r="S107" i="5"/>
  <c r="S108" i="5"/>
  <c r="S109" i="5"/>
  <c r="S110" i="5"/>
  <c r="S111" i="5"/>
  <c r="S112" i="5"/>
  <c r="S113" i="5"/>
  <c r="S114" i="5"/>
  <c r="S115" i="5"/>
  <c r="S116" i="5"/>
  <c r="S117" i="5"/>
  <c r="S118" i="5"/>
  <c r="S119" i="5"/>
  <c r="S120" i="5"/>
  <c r="S121" i="5"/>
  <c r="S122" i="5"/>
  <c r="S123" i="5"/>
  <c r="S124" i="5"/>
  <c r="S125" i="5"/>
  <c r="S126" i="5"/>
  <c r="S127" i="5"/>
  <c r="S128" i="5"/>
  <c r="S129" i="5"/>
  <c r="S130" i="5"/>
  <c r="S131" i="5"/>
  <c r="S132" i="5"/>
  <c r="S133" i="5"/>
  <c r="S134" i="5"/>
  <c r="S135" i="5"/>
  <c r="S136" i="5"/>
  <c r="S137" i="5"/>
  <c r="S138" i="5"/>
  <c r="S139" i="5"/>
  <c r="S140" i="5"/>
  <c r="S141" i="5"/>
  <c r="S142" i="5"/>
  <c r="S143" i="5"/>
  <c r="S144" i="5"/>
  <c r="S145" i="5"/>
  <c r="S146" i="5"/>
  <c r="S147" i="5"/>
  <c r="S148" i="5"/>
  <c r="S149" i="5"/>
  <c r="S150" i="5"/>
  <c r="S151" i="5"/>
  <c r="S152" i="5"/>
  <c r="S153" i="5"/>
  <c r="S154" i="5"/>
  <c r="S155" i="5"/>
  <c r="S156" i="5"/>
  <c r="S157" i="5"/>
  <c r="S158" i="5"/>
  <c r="S159" i="5"/>
  <c r="S160" i="5"/>
  <c r="S161" i="5"/>
  <c r="S162" i="5"/>
  <c r="S163" i="5"/>
  <c r="S164" i="5"/>
  <c r="S165" i="5"/>
  <c r="S166" i="5"/>
  <c r="S167" i="5"/>
  <c r="S168" i="5"/>
  <c r="S169" i="5"/>
  <c r="S170" i="5"/>
  <c r="S171" i="5"/>
  <c r="S172" i="5"/>
  <c r="S173" i="5"/>
  <c r="S174" i="5"/>
  <c r="S175" i="5"/>
  <c r="S176" i="5"/>
  <c r="S177" i="5"/>
  <c r="S178" i="5"/>
  <c r="S179" i="5"/>
  <c r="S180" i="5"/>
  <c r="S181" i="5"/>
  <c r="S182" i="5"/>
  <c r="S183" i="5"/>
  <c r="S184" i="5"/>
  <c r="S185" i="5"/>
  <c r="S186" i="5"/>
  <c r="S187" i="5"/>
  <c r="S188" i="5"/>
  <c r="S189" i="5"/>
  <c r="S190" i="5"/>
  <c r="S191" i="5"/>
  <c r="S192" i="5"/>
  <c r="S193" i="5"/>
  <c r="S194" i="5"/>
  <c r="S195" i="5"/>
  <c r="S196" i="5"/>
  <c r="S197" i="5"/>
  <c r="S198" i="5"/>
  <c r="S199" i="5"/>
  <c r="S200" i="5"/>
  <c r="S201" i="5"/>
  <c r="S202" i="5"/>
  <c r="S203" i="5"/>
  <c r="S204" i="5"/>
  <c r="S205" i="5"/>
  <c r="S206" i="5"/>
  <c r="S207" i="5"/>
  <c r="S208" i="5"/>
  <c r="S209" i="5"/>
  <c r="S210" i="5"/>
  <c r="S211" i="5"/>
  <c r="S212" i="5"/>
  <c r="S213" i="5"/>
  <c r="S214" i="5"/>
  <c r="S215" i="5"/>
  <c r="S216" i="5"/>
  <c r="S217" i="5"/>
  <c r="S218" i="5"/>
  <c r="S219" i="5"/>
  <c r="S220" i="5"/>
  <c r="S221" i="5"/>
  <c r="S222" i="5"/>
  <c r="S223" i="5"/>
  <c r="S224" i="5"/>
  <c r="S225" i="5"/>
  <c r="S226" i="5"/>
  <c r="S227" i="5"/>
  <c r="S228" i="5"/>
  <c r="S229" i="5"/>
  <c r="S230" i="5"/>
  <c r="S231" i="5"/>
  <c r="S232" i="5"/>
  <c r="S233" i="5"/>
  <c r="S234" i="5"/>
  <c r="S235" i="5"/>
  <c r="S236" i="5"/>
  <c r="S237" i="5"/>
  <c r="S238" i="5"/>
  <c r="S239" i="5"/>
  <c r="S240" i="5"/>
  <c r="S241" i="5"/>
  <c r="S242" i="5"/>
  <c r="S243" i="5"/>
  <c r="S244" i="5"/>
  <c r="S245" i="5"/>
  <c r="S246" i="5"/>
  <c r="S247" i="5"/>
  <c r="S248" i="5"/>
  <c r="S249" i="5"/>
  <c r="S250" i="5"/>
  <c r="S251" i="5"/>
  <c r="S252" i="5"/>
  <c r="R16" i="5"/>
  <c r="R17" i="5"/>
  <c r="R18" i="5"/>
  <c r="R19" i="5"/>
  <c r="R20" i="5"/>
  <c r="R21" i="5"/>
  <c r="R22" i="5"/>
  <c r="R23" i="5"/>
  <c r="R24" i="5"/>
  <c r="R25" i="5"/>
  <c r="R26" i="5"/>
  <c r="R27" i="5"/>
  <c r="R28" i="5"/>
  <c r="R29" i="5"/>
  <c r="R30" i="5"/>
  <c r="R31" i="5"/>
  <c r="R32" i="5"/>
  <c r="R33" i="5"/>
  <c r="R34" i="5"/>
  <c r="R35" i="5"/>
  <c r="R36" i="5"/>
  <c r="R37" i="5"/>
  <c r="R38" i="5"/>
  <c r="R39" i="5"/>
  <c r="R40" i="5"/>
  <c r="R41" i="5"/>
  <c r="R42" i="5"/>
  <c r="R43" i="5"/>
  <c r="R44" i="5"/>
  <c r="R45" i="5"/>
  <c r="R46" i="5"/>
  <c r="R47" i="5"/>
  <c r="R48" i="5"/>
  <c r="R49" i="5"/>
  <c r="R50" i="5"/>
  <c r="R51" i="5"/>
  <c r="R52" i="5"/>
  <c r="R53" i="5"/>
  <c r="R54" i="5"/>
  <c r="R55" i="5"/>
  <c r="R56" i="5"/>
  <c r="R57" i="5"/>
  <c r="R58" i="5"/>
  <c r="R59" i="5"/>
  <c r="R60" i="5"/>
  <c r="R61" i="5"/>
  <c r="R62" i="5"/>
  <c r="R63" i="5"/>
  <c r="R64" i="5"/>
  <c r="R65" i="5"/>
  <c r="R66" i="5"/>
  <c r="R67" i="5"/>
  <c r="R68" i="5"/>
  <c r="R69" i="5"/>
  <c r="R70" i="5"/>
  <c r="R71" i="5"/>
  <c r="R72" i="5"/>
  <c r="R73" i="5"/>
  <c r="R74" i="5"/>
  <c r="R75" i="5"/>
  <c r="R76" i="5"/>
  <c r="R77" i="5"/>
  <c r="R78" i="5"/>
  <c r="R79" i="5"/>
  <c r="R80" i="5"/>
  <c r="R81" i="5"/>
  <c r="R82" i="5"/>
  <c r="R83" i="5"/>
  <c r="R84" i="5"/>
  <c r="R85" i="5"/>
  <c r="R86" i="5"/>
  <c r="R87" i="5"/>
  <c r="R88" i="5"/>
  <c r="R89" i="5"/>
  <c r="R90" i="5"/>
  <c r="R91" i="5"/>
  <c r="R92" i="5"/>
  <c r="R93" i="5"/>
  <c r="R94" i="5"/>
  <c r="R95" i="5"/>
  <c r="R96" i="5"/>
  <c r="R97" i="5"/>
  <c r="R98" i="5"/>
  <c r="R99" i="5"/>
  <c r="R100" i="5"/>
  <c r="R101" i="5"/>
  <c r="R102" i="5"/>
  <c r="R103" i="5"/>
  <c r="R104" i="5"/>
  <c r="R105" i="5"/>
  <c r="R106" i="5"/>
  <c r="R107" i="5"/>
  <c r="R108" i="5"/>
  <c r="R109" i="5"/>
  <c r="R110" i="5"/>
  <c r="R111" i="5"/>
  <c r="R112" i="5"/>
  <c r="R113" i="5"/>
  <c r="R114" i="5"/>
  <c r="R115" i="5"/>
  <c r="R116" i="5"/>
  <c r="R117" i="5"/>
  <c r="R118" i="5"/>
  <c r="R119" i="5"/>
  <c r="R120" i="5"/>
  <c r="R121" i="5"/>
  <c r="R122" i="5"/>
  <c r="R123" i="5"/>
  <c r="R124" i="5"/>
  <c r="R125" i="5"/>
  <c r="R126" i="5"/>
  <c r="R127" i="5"/>
  <c r="R128" i="5"/>
  <c r="R129" i="5"/>
  <c r="R130" i="5"/>
  <c r="R131" i="5"/>
  <c r="R132" i="5"/>
  <c r="R133" i="5"/>
  <c r="R134" i="5"/>
  <c r="R135" i="5"/>
  <c r="R136" i="5"/>
  <c r="R137" i="5"/>
  <c r="R138" i="5"/>
  <c r="R139" i="5"/>
  <c r="R140" i="5"/>
  <c r="R141" i="5"/>
  <c r="R142" i="5"/>
  <c r="R143" i="5"/>
  <c r="R144" i="5"/>
  <c r="R145" i="5"/>
  <c r="R146" i="5"/>
  <c r="R147" i="5"/>
  <c r="R148" i="5"/>
  <c r="R149" i="5"/>
  <c r="R150" i="5"/>
  <c r="R151" i="5"/>
  <c r="R152" i="5"/>
  <c r="R153" i="5"/>
  <c r="R154" i="5"/>
  <c r="R155" i="5"/>
  <c r="R156" i="5"/>
  <c r="R157" i="5"/>
  <c r="R158" i="5"/>
  <c r="R159" i="5"/>
  <c r="R160" i="5"/>
  <c r="R161" i="5"/>
  <c r="R162" i="5"/>
  <c r="R163" i="5"/>
  <c r="R164" i="5"/>
  <c r="R165" i="5"/>
  <c r="R166" i="5"/>
  <c r="R167" i="5"/>
  <c r="R168" i="5"/>
  <c r="R169" i="5"/>
  <c r="R170" i="5"/>
  <c r="R171" i="5"/>
  <c r="R172" i="5"/>
  <c r="R173" i="5"/>
  <c r="R174" i="5"/>
  <c r="R175" i="5"/>
  <c r="R176" i="5"/>
  <c r="R177" i="5"/>
  <c r="R178" i="5"/>
  <c r="R179" i="5"/>
  <c r="R180" i="5"/>
  <c r="R181" i="5"/>
  <c r="R182" i="5"/>
  <c r="R183" i="5"/>
  <c r="R184" i="5"/>
  <c r="R185" i="5"/>
  <c r="R186" i="5"/>
  <c r="R187" i="5"/>
  <c r="R188" i="5"/>
  <c r="R189" i="5"/>
  <c r="R190" i="5"/>
  <c r="R191" i="5"/>
  <c r="R192" i="5"/>
  <c r="R193" i="5"/>
  <c r="R194" i="5"/>
  <c r="R195" i="5"/>
  <c r="R196" i="5"/>
  <c r="R197" i="5"/>
  <c r="R198" i="5"/>
  <c r="R199" i="5"/>
  <c r="R200" i="5"/>
  <c r="R201" i="5"/>
  <c r="R202" i="5"/>
  <c r="R203" i="5"/>
  <c r="R204" i="5"/>
  <c r="R205" i="5"/>
  <c r="R206" i="5"/>
  <c r="R207" i="5"/>
  <c r="R208" i="5"/>
  <c r="R209" i="5"/>
  <c r="R210" i="5"/>
  <c r="R211" i="5"/>
  <c r="R212" i="5"/>
  <c r="R213" i="5"/>
  <c r="R214" i="5"/>
  <c r="R215" i="5"/>
  <c r="R216" i="5"/>
  <c r="R217" i="5"/>
  <c r="R218" i="5"/>
  <c r="R219" i="5"/>
  <c r="R220" i="5"/>
  <c r="R221" i="5"/>
  <c r="R222" i="5"/>
  <c r="R223" i="5"/>
  <c r="R224" i="5"/>
  <c r="R225" i="5"/>
  <c r="R226" i="5"/>
  <c r="R227" i="5"/>
  <c r="R228" i="5"/>
  <c r="R229" i="5"/>
  <c r="R230" i="5"/>
  <c r="R231" i="5"/>
  <c r="R232" i="5"/>
  <c r="R233" i="5"/>
  <c r="R234" i="5"/>
  <c r="R235" i="5"/>
  <c r="R236" i="5"/>
  <c r="R237" i="5"/>
  <c r="R238" i="5"/>
  <c r="R239" i="5"/>
  <c r="R240" i="5"/>
  <c r="R241" i="5"/>
  <c r="R242" i="5"/>
  <c r="R243" i="5"/>
  <c r="R244" i="5"/>
  <c r="R245" i="5"/>
  <c r="R246" i="5"/>
  <c r="R247" i="5"/>
  <c r="R248" i="5"/>
  <c r="R249" i="5"/>
  <c r="R250" i="5"/>
  <c r="R251" i="5"/>
  <c r="R252" i="5"/>
  <c r="Q3" i="5"/>
  <c r="Q4" i="5"/>
  <c r="Q5" i="5"/>
  <c r="Q6" i="5"/>
  <c r="Q7" i="5"/>
  <c r="Q8" i="5"/>
  <c r="Q9" i="5"/>
  <c r="Q10" i="5"/>
  <c r="Q11" i="5"/>
  <c r="Q12" i="5"/>
  <c r="Q13" i="5"/>
  <c r="Q14" i="5"/>
  <c r="Q15" i="5"/>
  <c r="Q16" i="5"/>
  <c r="Q17" i="5"/>
  <c r="Q18" i="5"/>
  <c r="Q19" i="5"/>
  <c r="Q20" i="5"/>
  <c r="Q21" i="5"/>
  <c r="Q22" i="5"/>
  <c r="Q23" i="5"/>
  <c r="Q24" i="5"/>
  <c r="Q25" i="5"/>
  <c r="Q26" i="5"/>
  <c r="Q27" i="5"/>
  <c r="Q28" i="5"/>
  <c r="Q29" i="5"/>
  <c r="Q30" i="5"/>
  <c r="Q31" i="5"/>
  <c r="Q32" i="5"/>
  <c r="Q33" i="5"/>
  <c r="Q34" i="5"/>
  <c r="Q35" i="5"/>
  <c r="Q36" i="5"/>
  <c r="Q37" i="5"/>
  <c r="Q38" i="5"/>
  <c r="Q39" i="5"/>
  <c r="Q40" i="5"/>
  <c r="Q41" i="5"/>
  <c r="Q42" i="5"/>
  <c r="Q43" i="5"/>
  <c r="Q44" i="5"/>
  <c r="Q45" i="5"/>
  <c r="Q46" i="5"/>
  <c r="Q47" i="5"/>
  <c r="Q48" i="5"/>
  <c r="Q49" i="5"/>
  <c r="Q50" i="5"/>
  <c r="Q51" i="5"/>
  <c r="Q52" i="5"/>
  <c r="Q53" i="5"/>
  <c r="Q54" i="5"/>
  <c r="Q55" i="5"/>
  <c r="Q56" i="5"/>
  <c r="Q57" i="5"/>
  <c r="Q58" i="5"/>
  <c r="Q59" i="5"/>
  <c r="Q60" i="5"/>
  <c r="Q61" i="5"/>
  <c r="Q62" i="5"/>
  <c r="Q63" i="5"/>
  <c r="Q64" i="5"/>
  <c r="Q65" i="5"/>
  <c r="Q66" i="5"/>
  <c r="Q67" i="5"/>
  <c r="Q68" i="5"/>
  <c r="Q69" i="5"/>
  <c r="Q70" i="5"/>
  <c r="Q71" i="5"/>
  <c r="Q72" i="5"/>
  <c r="Q73" i="5"/>
  <c r="Q74" i="5"/>
  <c r="Q75" i="5"/>
  <c r="Q76" i="5"/>
  <c r="Q77" i="5"/>
  <c r="Q78" i="5"/>
  <c r="Q79" i="5"/>
  <c r="Q80" i="5"/>
  <c r="Q81" i="5"/>
  <c r="Q82" i="5"/>
  <c r="Q83" i="5"/>
  <c r="Q84" i="5"/>
  <c r="Q85" i="5"/>
  <c r="Q86" i="5"/>
  <c r="Q87" i="5"/>
  <c r="Q88" i="5"/>
  <c r="Q89" i="5"/>
  <c r="Q90" i="5"/>
  <c r="Q91" i="5"/>
  <c r="Q92" i="5"/>
  <c r="Q93" i="5"/>
  <c r="Q94" i="5"/>
  <c r="Q95" i="5"/>
  <c r="Q96" i="5"/>
  <c r="Q97" i="5"/>
  <c r="Q98" i="5"/>
  <c r="Q99" i="5"/>
  <c r="Q100" i="5"/>
  <c r="Q101" i="5"/>
  <c r="Q102" i="5"/>
  <c r="Q103" i="5"/>
  <c r="Q104" i="5"/>
  <c r="Q105" i="5"/>
  <c r="Q106" i="5"/>
  <c r="Q107" i="5"/>
  <c r="Q108" i="5"/>
  <c r="Q109" i="5"/>
  <c r="Q110" i="5"/>
  <c r="Q111" i="5"/>
  <c r="Q112" i="5"/>
  <c r="Q113" i="5"/>
  <c r="Q114" i="5"/>
  <c r="Q115" i="5"/>
  <c r="Q116" i="5"/>
  <c r="Q117" i="5"/>
  <c r="Q118" i="5"/>
  <c r="Q119" i="5"/>
  <c r="Q120" i="5"/>
  <c r="Q121" i="5"/>
  <c r="Q122" i="5"/>
  <c r="Q123" i="5"/>
  <c r="Q124" i="5"/>
  <c r="Q125" i="5"/>
  <c r="Q126" i="5"/>
  <c r="Q127" i="5"/>
  <c r="Q128" i="5"/>
  <c r="Q129" i="5"/>
  <c r="Q130" i="5"/>
  <c r="Q131" i="5"/>
  <c r="Q132" i="5"/>
  <c r="Q133" i="5"/>
  <c r="Q134" i="5"/>
  <c r="Q135" i="5"/>
  <c r="Q136" i="5"/>
  <c r="Q137" i="5"/>
  <c r="Q138" i="5"/>
  <c r="Q139" i="5"/>
  <c r="Q140" i="5"/>
  <c r="Q141" i="5"/>
  <c r="Q142" i="5"/>
  <c r="Q143" i="5"/>
  <c r="Q144" i="5"/>
  <c r="Q145" i="5"/>
  <c r="Q146" i="5"/>
  <c r="Q147" i="5"/>
  <c r="Q148" i="5"/>
  <c r="Q149" i="5"/>
  <c r="Q150" i="5"/>
  <c r="Q151" i="5"/>
  <c r="Q152" i="5"/>
  <c r="Q153" i="5"/>
  <c r="Q154" i="5"/>
  <c r="Q155" i="5"/>
  <c r="Q156" i="5"/>
  <c r="Q157" i="5"/>
  <c r="Q158" i="5"/>
  <c r="Q159" i="5"/>
  <c r="Q160" i="5"/>
  <c r="Q161" i="5"/>
  <c r="Q162" i="5"/>
  <c r="Q163" i="5"/>
  <c r="Q164" i="5"/>
  <c r="Q165" i="5"/>
  <c r="Q166" i="5"/>
  <c r="Q167" i="5"/>
  <c r="Q168" i="5"/>
  <c r="Q169" i="5"/>
  <c r="Q170" i="5"/>
  <c r="Q171" i="5"/>
  <c r="Q172" i="5"/>
  <c r="Q173" i="5"/>
  <c r="Q174" i="5"/>
  <c r="Q175" i="5"/>
  <c r="Q176" i="5"/>
  <c r="Q177" i="5"/>
  <c r="Q178" i="5"/>
  <c r="Q179" i="5"/>
  <c r="Q180" i="5"/>
  <c r="Q181" i="5"/>
  <c r="Q182" i="5"/>
  <c r="Q183" i="5"/>
  <c r="Q184" i="5"/>
  <c r="Q185" i="5"/>
  <c r="Q186" i="5"/>
  <c r="Q187" i="5"/>
  <c r="Q188" i="5"/>
  <c r="Q189" i="5"/>
  <c r="Q190" i="5"/>
  <c r="Q191" i="5"/>
  <c r="Q192" i="5"/>
  <c r="Q193" i="5"/>
  <c r="Q194" i="5"/>
  <c r="Q195" i="5"/>
  <c r="Q196" i="5"/>
  <c r="Q197" i="5"/>
  <c r="Q198" i="5"/>
  <c r="Q199" i="5"/>
  <c r="Q200" i="5"/>
  <c r="Q201" i="5"/>
  <c r="Q202" i="5"/>
  <c r="Q203" i="5"/>
  <c r="Q204" i="5"/>
  <c r="Q205" i="5"/>
  <c r="Q206" i="5"/>
  <c r="Q207" i="5"/>
  <c r="Q208" i="5"/>
  <c r="Q209" i="5"/>
  <c r="Q210" i="5"/>
  <c r="Q211" i="5"/>
  <c r="Q212" i="5"/>
  <c r="Q213" i="5"/>
  <c r="Q214" i="5"/>
  <c r="Q215" i="5"/>
  <c r="Q216" i="5"/>
  <c r="Q217" i="5"/>
  <c r="Q218" i="5"/>
  <c r="Q219" i="5"/>
  <c r="Q220" i="5"/>
  <c r="Q221" i="5"/>
  <c r="Q222" i="5"/>
  <c r="Q223" i="5"/>
  <c r="Q224" i="5"/>
  <c r="Q225" i="5"/>
  <c r="Q226" i="5"/>
  <c r="Q227" i="5"/>
  <c r="Q228" i="5"/>
  <c r="Q229" i="5"/>
  <c r="Q230" i="5"/>
  <c r="Q231" i="5"/>
  <c r="Q232" i="5"/>
  <c r="Q233" i="5"/>
  <c r="Q234" i="5"/>
  <c r="Q235" i="5"/>
  <c r="Q236" i="5"/>
  <c r="Q237" i="5"/>
  <c r="Q238" i="5"/>
  <c r="Q239" i="5"/>
  <c r="Q240" i="5"/>
  <c r="Q241" i="5"/>
  <c r="Q242" i="5"/>
  <c r="Q243" i="5"/>
  <c r="Q244" i="5"/>
  <c r="Q245" i="5"/>
  <c r="Q246" i="5"/>
  <c r="Q247" i="5"/>
  <c r="Q248" i="5"/>
  <c r="Q249" i="5"/>
  <c r="Q250" i="5"/>
  <c r="Q251" i="5"/>
  <c r="Q252" i="5"/>
  <c r="Q2" i="5"/>
  <c r="M17" i="5"/>
  <c r="N17" i="5"/>
  <c r="O17" i="5"/>
  <c r="P17" i="5"/>
  <c r="M18" i="5"/>
  <c r="N18" i="5"/>
  <c r="O18" i="5"/>
  <c r="P18" i="5"/>
  <c r="M19" i="5"/>
  <c r="N19" i="5"/>
  <c r="O19" i="5"/>
  <c r="P19" i="5"/>
  <c r="M20" i="5"/>
  <c r="N20" i="5"/>
  <c r="O20" i="5"/>
  <c r="P20" i="5"/>
  <c r="M21" i="5"/>
  <c r="N21" i="5"/>
  <c r="O21" i="5"/>
  <c r="P21" i="5"/>
  <c r="M22" i="5"/>
  <c r="N22" i="5"/>
  <c r="O22" i="5"/>
  <c r="P22" i="5"/>
  <c r="M23" i="5"/>
  <c r="N23" i="5"/>
  <c r="O23" i="5"/>
  <c r="P23" i="5"/>
  <c r="M24" i="5"/>
  <c r="N24" i="5"/>
  <c r="O24" i="5"/>
  <c r="P24" i="5"/>
  <c r="M25" i="5"/>
  <c r="N25" i="5"/>
  <c r="O25" i="5"/>
  <c r="P25" i="5"/>
  <c r="M26" i="5"/>
  <c r="N26" i="5"/>
  <c r="O26" i="5"/>
  <c r="P26" i="5"/>
  <c r="M27" i="5"/>
  <c r="N27" i="5"/>
  <c r="O27" i="5"/>
  <c r="P27" i="5"/>
  <c r="M28" i="5"/>
  <c r="N28" i="5"/>
  <c r="O28" i="5"/>
  <c r="P28" i="5"/>
  <c r="M29" i="5"/>
  <c r="N29" i="5"/>
  <c r="O29" i="5"/>
  <c r="P29" i="5"/>
  <c r="M30" i="5"/>
  <c r="N30" i="5"/>
  <c r="O30" i="5"/>
  <c r="P30" i="5"/>
  <c r="M31" i="5"/>
  <c r="N31" i="5"/>
  <c r="O31" i="5"/>
  <c r="P31" i="5"/>
  <c r="M32" i="5"/>
  <c r="N32" i="5"/>
  <c r="O32" i="5"/>
  <c r="P32" i="5"/>
  <c r="M33" i="5"/>
  <c r="N33" i="5"/>
  <c r="O33" i="5"/>
  <c r="P33" i="5"/>
  <c r="M34" i="5"/>
  <c r="N34" i="5"/>
  <c r="O34" i="5"/>
  <c r="P34" i="5"/>
  <c r="M35" i="5"/>
  <c r="N35" i="5"/>
  <c r="O35" i="5"/>
  <c r="P35" i="5"/>
  <c r="M36" i="5"/>
  <c r="N36" i="5"/>
  <c r="O36" i="5"/>
  <c r="P36" i="5"/>
  <c r="M37" i="5"/>
  <c r="N37" i="5"/>
  <c r="O37" i="5"/>
  <c r="P37" i="5"/>
  <c r="M38" i="5"/>
  <c r="N38" i="5"/>
  <c r="O38" i="5"/>
  <c r="P38" i="5"/>
  <c r="M39" i="5"/>
  <c r="N39" i="5"/>
  <c r="O39" i="5"/>
  <c r="P39" i="5"/>
  <c r="M40" i="5"/>
  <c r="N40" i="5"/>
  <c r="O40" i="5"/>
  <c r="P40" i="5"/>
  <c r="M41" i="5"/>
  <c r="N41" i="5"/>
  <c r="O41" i="5"/>
  <c r="P41" i="5"/>
  <c r="M42" i="5"/>
  <c r="N42" i="5"/>
  <c r="O42" i="5"/>
  <c r="P42" i="5"/>
  <c r="M43" i="5"/>
  <c r="N43" i="5"/>
  <c r="O43" i="5"/>
  <c r="P43" i="5"/>
  <c r="M44" i="5"/>
  <c r="N44" i="5"/>
  <c r="O44" i="5"/>
  <c r="P44" i="5"/>
  <c r="M45" i="5"/>
  <c r="N45" i="5"/>
  <c r="O45" i="5"/>
  <c r="P45" i="5"/>
  <c r="M46" i="5"/>
  <c r="N46" i="5"/>
  <c r="O46" i="5"/>
  <c r="P46" i="5"/>
  <c r="M47" i="5"/>
  <c r="N47" i="5"/>
  <c r="O47" i="5"/>
  <c r="P47" i="5"/>
  <c r="M48" i="5"/>
  <c r="N48" i="5"/>
  <c r="O48" i="5"/>
  <c r="P48" i="5"/>
  <c r="M49" i="5"/>
  <c r="N49" i="5"/>
  <c r="O49" i="5"/>
  <c r="P49" i="5"/>
  <c r="M50" i="5"/>
  <c r="N50" i="5"/>
  <c r="O50" i="5"/>
  <c r="P50" i="5"/>
  <c r="M51" i="5"/>
  <c r="N51" i="5"/>
  <c r="O51" i="5"/>
  <c r="P51" i="5"/>
  <c r="M52" i="5"/>
  <c r="N52" i="5"/>
  <c r="O52" i="5"/>
  <c r="P52" i="5"/>
  <c r="M53" i="5"/>
  <c r="N53" i="5"/>
  <c r="O53" i="5"/>
  <c r="P53" i="5"/>
  <c r="M54" i="5"/>
  <c r="N54" i="5"/>
  <c r="O54" i="5"/>
  <c r="P54" i="5"/>
  <c r="M55" i="5"/>
  <c r="N55" i="5"/>
  <c r="O55" i="5"/>
  <c r="P55" i="5"/>
  <c r="M56" i="5"/>
  <c r="N56" i="5"/>
  <c r="O56" i="5"/>
  <c r="P56" i="5"/>
  <c r="M57" i="5"/>
  <c r="N57" i="5"/>
  <c r="O57" i="5"/>
  <c r="P57" i="5"/>
  <c r="M58" i="5"/>
  <c r="N58" i="5"/>
  <c r="O58" i="5"/>
  <c r="P58" i="5"/>
  <c r="M59" i="5"/>
  <c r="N59" i="5"/>
  <c r="O59" i="5"/>
  <c r="P59" i="5"/>
  <c r="M60" i="5"/>
  <c r="N60" i="5"/>
  <c r="O60" i="5"/>
  <c r="P60" i="5"/>
  <c r="M61" i="5"/>
  <c r="N61" i="5"/>
  <c r="O61" i="5"/>
  <c r="P61" i="5"/>
  <c r="M62" i="5"/>
  <c r="N62" i="5"/>
  <c r="O62" i="5"/>
  <c r="P62" i="5"/>
  <c r="M63" i="5"/>
  <c r="N63" i="5"/>
  <c r="O63" i="5"/>
  <c r="P63" i="5"/>
  <c r="M64" i="5"/>
  <c r="N64" i="5"/>
  <c r="O64" i="5"/>
  <c r="P64" i="5"/>
  <c r="M65" i="5"/>
  <c r="N65" i="5"/>
  <c r="O65" i="5"/>
  <c r="P65" i="5"/>
  <c r="M66" i="5"/>
  <c r="N66" i="5"/>
  <c r="O66" i="5"/>
  <c r="P66" i="5"/>
  <c r="M67" i="5"/>
  <c r="N67" i="5"/>
  <c r="O67" i="5"/>
  <c r="P67" i="5"/>
  <c r="M68" i="5"/>
  <c r="N68" i="5"/>
  <c r="O68" i="5"/>
  <c r="P68" i="5"/>
  <c r="M69" i="5"/>
  <c r="N69" i="5"/>
  <c r="O69" i="5"/>
  <c r="P69" i="5"/>
  <c r="M70" i="5"/>
  <c r="N70" i="5"/>
  <c r="O70" i="5"/>
  <c r="P70" i="5"/>
  <c r="M71" i="5"/>
  <c r="N71" i="5"/>
  <c r="O71" i="5"/>
  <c r="P71" i="5"/>
  <c r="M72" i="5"/>
  <c r="N72" i="5"/>
  <c r="O72" i="5"/>
  <c r="P72" i="5"/>
  <c r="M73" i="5"/>
  <c r="N73" i="5"/>
  <c r="O73" i="5"/>
  <c r="P73" i="5"/>
  <c r="M74" i="5"/>
  <c r="N74" i="5"/>
  <c r="O74" i="5"/>
  <c r="P74" i="5"/>
  <c r="M75" i="5"/>
  <c r="N75" i="5"/>
  <c r="O75" i="5"/>
  <c r="P75" i="5"/>
  <c r="M76" i="5"/>
  <c r="N76" i="5"/>
  <c r="O76" i="5"/>
  <c r="P76" i="5"/>
  <c r="M77" i="5"/>
  <c r="N77" i="5"/>
  <c r="O77" i="5"/>
  <c r="P77" i="5"/>
  <c r="M78" i="5"/>
  <c r="N78" i="5"/>
  <c r="O78" i="5"/>
  <c r="P78" i="5"/>
  <c r="M79" i="5"/>
  <c r="N79" i="5"/>
  <c r="O79" i="5"/>
  <c r="P79" i="5"/>
  <c r="M80" i="5"/>
  <c r="N80" i="5"/>
  <c r="O80" i="5"/>
  <c r="P80" i="5"/>
  <c r="M81" i="5"/>
  <c r="N81" i="5"/>
  <c r="O81" i="5"/>
  <c r="P81" i="5"/>
  <c r="M82" i="5"/>
  <c r="N82" i="5"/>
  <c r="O82" i="5"/>
  <c r="P82" i="5"/>
  <c r="M83" i="5"/>
  <c r="N83" i="5"/>
  <c r="O83" i="5"/>
  <c r="P83" i="5"/>
  <c r="M84" i="5"/>
  <c r="N84" i="5"/>
  <c r="O84" i="5"/>
  <c r="P84" i="5"/>
  <c r="M85" i="5"/>
  <c r="N85" i="5"/>
  <c r="O85" i="5"/>
  <c r="P85" i="5"/>
  <c r="M86" i="5"/>
  <c r="N86" i="5"/>
  <c r="O86" i="5"/>
  <c r="P86" i="5"/>
  <c r="M87" i="5"/>
  <c r="N87" i="5"/>
  <c r="O87" i="5"/>
  <c r="P87" i="5"/>
  <c r="M88" i="5"/>
  <c r="N88" i="5"/>
  <c r="O88" i="5"/>
  <c r="P88" i="5"/>
  <c r="M89" i="5"/>
  <c r="N89" i="5"/>
  <c r="O89" i="5"/>
  <c r="P89" i="5"/>
  <c r="M90" i="5"/>
  <c r="N90" i="5"/>
  <c r="O90" i="5"/>
  <c r="P90" i="5"/>
  <c r="M91" i="5"/>
  <c r="N91" i="5"/>
  <c r="O91" i="5"/>
  <c r="P91" i="5"/>
  <c r="M92" i="5"/>
  <c r="N92" i="5"/>
  <c r="O92" i="5"/>
  <c r="P92" i="5"/>
  <c r="M93" i="5"/>
  <c r="N93" i="5"/>
  <c r="O93" i="5"/>
  <c r="P93" i="5"/>
  <c r="M94" i="5"/>
  <c r="N94" i="5"/>
  <c r="O94" i="5"/>
  <c r="P94" i="5"/>
  <c r="M95" i="5"/>
  <c r="N95" i="5"/>
  <c r="O95" i="5"/>
  <c r="P95" i="5"/>
  <c r="M96" i="5"/>
  <c r="N96" i="5"/>
  <c r="O96" i="5"/>
  <c r="P96" i="5"/>
  <c r="M97" i="5"/>
  <c r="N97" i="5"/>
  <c r="O97" i="5"/>
  <c r="P97" i="5"/>
  <c r="M98" i="5"/>
  <c r="N98" i="5"/>
  <c r="O98" i="5"/>
  <c r="P98" i="5"/>
  <c r="M99" i="5"/>
  <c r="N99" i="5"/>
  <c r="O99" i="5"/>
  <c r="P99" i="5"/>
  <c r="M100" i="5"/>
  <c r="N100" i="5"/>
  <c r="O100" i="5"/>
  <c r="P100" i="5"/>
  <c r="M101" i="5"/>
  <c r="N101" i="5"/>
  <c r="O101" i="5"/>
  <c r="P101" i="5"/>
  <c r="M102" i="5"/>
  <c r="N102" i="5"/>
  <c r="O102" i="5"/>
  <c r="P102" i="5"/>
  <c r="M103" i="5"/>
  <c r="N103" i="5"/>
  <c r="O103" i="5"/>
  <c r="P103" i="5"/>
  <c r="M104" i="5"/>
  <c r="N104" i="5"/>
  <c r="O104" i="5"/>
  <c r="P104" i="5"/>
  <c r="M105" i="5"/>
  <c r="N105" i="5"/>
  <c r="O105" i="5"/>
  <c r="P105" i="5"/>
  <c r="M106" i="5"/>
  <c r="N106" i="5"/>
  <c r="O106" i="5"/>
  <c r="P106" i="5"/>
  <c r="M107" i="5"/>
  <c r="N107" i="5"/>
  <c r="O107" i="5"/>
  <c r="P107" i="5"/>
  <c r="M108" i="5"/>
  <c r="N108" i="5"/>
  <c r="O108" i="5"/>
  <c r="P108" i="5"/>
  <c r="M109" i="5"/>
  <c r="N109" i="5"/>
  <c r="O109" i="5"/>
  <c r="P109" i="5"/>
  <c r="M110" i="5"/>
  <c r="N110" i="5"/>
  <c r="O110" i="5"/>
  <c r="P110" i="5"/>
  <c r="M111" i="5"/>
  <c r="N111" i="5"/>
  <c r="O111" i="5"/>
  <c r="P111" i="5"/>
  <c r="M112" i="5"/>
  <c r="N112" i="5"/>
  <c r="O112" i="5"/>
  <c r="P112" i="5"/>
  <c r="M113" i="5"/>
  <c r="N113" i="5"/>
  <c r="O113" i="5"/>
  <c r="P113" i="5"/>
  <c r="M114" i="5"/>
  <c r="N114" i="5"/>
  <c r="O114" i="5"/>
  <c r="P114" i="5"/>
  <c r="M115" i="5"/>
  <c r="N115" i="5"/>
  <c r="O115" i="5"/>
  <c r="P115" i="5"/>
  <c r="M116" i="5"/>
  <c r="N116" i="5"/>
  <c r="O116" i="5"/>
  <c r="P116" i="5"/>
  <c r="M117" i="5"/>
  <c r="N117" i="5"/>
  <c r="O117" i="5"/>
  <c r="P117" i="5"/>
  <c r="M118" i="5"/>
  <c r="N118" i="5"/>
  <c r="O118" i="5"/>
  <c r="P118" i="5"/>
  <c r="M119" i="5"/>
  <c r="N119" i="5"/>
  <c r="O119" i="5"/>
  <c r="P119" i="5"/>
  <c r="M120" i="5"/>
  <c r="N120" i="5"/>
  <c r="O120" i="5"/>
  <c r="P120" i="5"/>
  <c r="M121" i="5"/>
  <c r="N121" i="5"/>
  <c r="O121" i="5"/>
  <c r="P121" i="5"/>
  <c r="M122" i="5"/>
  <c r="N122" i="5"/>
  <c r="O122" i="5"/>
  <c r="P122" i="5"/>
  <c r="M123" i="5"/>
  <c r="N123" i="5"/>
  <c r="O123" i="5"/>
  <c r="P123" i="5"/>
  <c r="M124" i="5"/>
  <c r="N124" i="5"/>
  <c r="O124" i="5"/>
  <c r="P124" i="5"/>
  <c r="M125" i="5"/>
  <c r="N125" i="5"/>
  <c r="O125" i="5"/>
  <c r="P125" i="5"/>
  <c r="M126" i="5"/>
  <c r="N126" i="5"/>
  <c r="O126" i="5"/>
  <c r="P126" i="5"/>
  <c r="M127" i="5"/>
  <c r="N127" i="5"/>
  <c r="O127" i="5"/>
  <c r="P127" i="5"/>
  <c r="M128" i="5"/>
  <c r="N128" i="5"/>
  <c r="O128" i="5"/>
  <c r="P128" i="5"/>
  <c r="M129" i="5"/>
  <c r="N129" i="5"/>
  <c r="O129" i="5"/>
  <c r="P129" i="5"/>
  <c r="M130" i="5"/>
  <c r="N130" i="5"/>
  <c r="O130" i="5"/>
  <c r="P130" i="5"/>
  <c r="M131" i="5"/>
  <c r="N131" i="5"/>
  <c r="O131" i="5"/>
  <c r="P131" i="5"/>
  <c r="M132" i="5"/>
  <c r="N132" i="5"/>
  <c r="O132" i="5"/>
  <c r="P132" i="5"/>
  <c r="M133" i="5"/>
  <c r="N133" i="5"/>
  <c r="O133" i="5"/>
  <c r="P133" i="5"/>
  <c r="M134" i="5"/>
  <c r="N134" i="5"/>
  <c r="O134" i="5"/>
  <c r="P134" i="5"/>
  <c r="M135" i="5"/>
  <c r="N135" i="5"/>
  <c r="O135" i="5"/>
  <c r="P135" i="5"/>
  <c r="M136" i="5"/>
  <c r="N136" i="5"/>
  <c r="O136" i="5"/>
  <c r="P136" i="5"/>
  <c r="M137" i="5"/>
  <c r="N137" i="5"/>
  <c r="O137" i="5"/>
  <c r="P137" i="5"/>
  <c r="M138" i="5"/>
  <c r="N138" i="5"/>
  <c r="O138" i="5"/>
  <c r="P138" i="5"/>
  <c r="M139" i="5"/>
  <c r="N139" i="5"/>
  <c r="O139" i="5"/>
  <c r="P139" i="5"/>
  <c r="M140" i="5"/>
  <c r="N140" i="5"/>
  <c r="O140" i="5"/>
  <c r="P140" i="5"/>
  <c r="M141" i="5"/>
  <c r="N141" i="5"/>
  <c r="O141" i="5"/>
  <c r="P141" i="5"/>
  <c r="M142" i="5"/>
  <c r="N142" i="5"/>
  <c r="O142" i="5"/>
  <c r="P142" i="5"/>
  <c r="M143" i="5"/>
  <c r="N143" i="5"/>
  <c r="O143" i="5"/>
  <c r="P143" i="5"/>
  <c r="M144" i="5"/>
  <c r="N144" i="5"/>
  <c r="O144" i="5"/>
  <c r="P144" i="5"/>
  <c r="M145" i="5"/>
  <c r="N145" i="5"/>
  <c r="O145" i="5"/>
  <c r="P145" i="5"/>
  <c r="M146" i="5"/>
  <c r="N146" i="5"/>
  <c r="O146" i="5"/>
  <c r="P146" i="5"/>
  <c r="M147" i="5"/>
  <c r="N147" i="5"/>
  <c r="O147" i="5"/>
  <c r="P147" i="5"/>
  <c r="M148" i="5"/>
  <c r="N148" i="5"/>
  <c r="O148" i="5"/>
  <c r="P148" i="5"/>
  <c r="M149" i="5"/>
  <c r="N149" i="5"/>
  <c r="O149" i="5"/>
  <c r="P149" i="5"/>
  <c r="M150" i="5"/>
  <c r="N150" i="5"/>
  <c r="O150" i="5"/>
  <c r="P150" i="5"/>
  <c r="M151" i="5"/>
  <c r="N151" i="5"/>
  <c r="O151" i="5"/>
  <c r="P151" i="5"/>
  <c r="M152" i="5"/>
  <c r="N152" i="5"/>
  <c r="O152" i="5"/>
  <c r="P152" i="5"/>
  <c r="M153" i="5"/>
  <c r="N153" i="5"/>
  <c r="O153" i="5"/>
  <c r="P153" i="5"/>
  <c r="M154" i="5"/>
  <c r="N154" i="5"/>
  <c r="O154" i="5"/>
  <c r="P154" i="5"/>
  <c r="M155" i="5"/>
  <c r="N155" i="5"/>
  <c r="O155" i="5"/>
  <c r="P155" i="5"/>
  <c r="M156" i="5"/>
  <c r="N156" i="5"/>
  <c r="O156" i="5"/>
  <c r="P156" i="5"/>
  <c r="M157" i="5"/>
  <c r="N157" i="5"/>
  <c r="O157" i="5"/>
  <c r="P157" i="5"/>
  <c r="M158" i="5"/>
  <c r="N158" i="5"/>
  <c r="O158" i="5"/>
  <c r="P158" i="5"/>
  <c r="M159" i="5"/>
  <c r="N159" i="5"/>
  <c r="O159" i="5"/>
  <c r="P159" i="5"/>
  <c r="M160" i="5"/>
  <c r="N160" i="5"/>
  <c r="O160" i="5"/>
  <c r="P160" i="5"/>
  <c r="M161" i="5"/>
  <c r="N161" i="5"/>
  <c r="O161" i="5"/>
  <c r="P161" i="5"/>
  <c r="M162" i="5"/>
  <c r="N162" i="5"/>
  <c r="O162" i="5"/>
  <c r="P162" i="5"/>
  <c r="M163" i="5"/>
  <c r="N163" i="5"/>
  <c r="O163" i="5"/>
  <c r="P163" i="5"/>
  <c r="M164" i="5"/>
  <c r="N164" i="5"/>
  <c r="O164" i="5"/>
  <c r="P164" i="5"/>
  <c r="M165" i="5"/>
  <c r="N165" i="5"/>
  <c r="O165" i="5"/>
  <c r="P165" i="5"/>
  <c r="M166" i="5"/>
  <c r="N166" i="5"/>
  <c r="O166" i="5"/>
  <c r="P166" i="5"/>
  <c r="M167" i="5"/>
  <c r="N167" i="5"/>
  <c r="O167" i="5"/>
  <c r="P167" i="5"/>
  <c r="M168" i="5"/>
  <c r="N168" i="5"/>
  <c r="O168" i="5"/>
  <c r="P168" i="5"/>
  <c r="M169" i="5"/>
  <c r="N169" i="5"/>
  <c r="O169" i="5"/>
  <c r="P169" i="5"/>
  <c r="M170" i="5"/>
  <c r="N170" i="5"/>
  <c r="O170" i="5"/>
  <c r="P170" i="5"/>
  <c r="M171" i="5"/>
  <c r="N171" i="5"/>
  <c r="O171" i="5"/>
  <c r="P171" i="5"/>
  <c r="M172" i="5"/>
  <c r="N172" i="5"/>
  <c r="O172" i="5"/>
  <c r="P172" i="5"/>
  <c r="M173" i="5"/>
  <c r="N173" i="5"/>
  <c r="O173" i="5"/>
  <c r="P173" i="5"/>
  <c r="M174" i="5"/>
  <c r="N174" i="5"/>
  <c r="O174" i="5"/>
  <c r="P174" i="5"/>
  <c r="M175" i="5"/>
  <c r="N175" i="5"/>
  <c r="O175" i="5"/>
  <c r="P175" i="5"/>
  <c r="M176" i="5"/>
  <c r="N176" i="5"/>
  <c r="O176" i="5"/>
  <c r="P176" i="5"/>
  <c r="M177" i="5"/>
  <c r="N177" i="5"/>
  <c r="O177" i="5"/>
  <c r="P177" i="5"/>
  <c r="M178" i="5"/>
  <c r="N178" i="5"/>
  <c r="O178" i="5"/>
  <c r="P178" i="5"/>
  <c r="M179" i="5"/>
  <c r="N179" i="5"/>
  <c r="O179" i="5"/>
  <c r="P179" i="5"/>
  <c r="M180" i="5"/>
  <c r="N180" i="5"/>
  <c r="O180" i="5"/>
  <c r="P180" i="5"/>
  <c r="M181" i="5"/>
  <c r="N181" i="5"/>
  <c r="O181" i="5"/>
  <c r="P181" i="5"/>
  <c r="M182" i="5"/>
  <c r="N182" i="5"/>
  <c r="O182" i="5"/>
  <c r="P182" i="5"/>
  <c r="M183" i="5"/>
  <c r="N183" i="5"/>
  <c r="O183" i="5"/>
  <c r="P183" i="5"/>
  <c r="M184" i="5"/>
  <c r="N184" i="5"/>
  <c r="O184" i="5"/>
  <c r="P184" i="5"/>
  <c r="M185" i="5"/>
  <c r="N185" i="5"/>
  <c r="O185" i="5"/>
  <c r="P185" i="5"/>
  <c r="M186" i="5"/>
  <c r="N186" i="5"/>
  <c r="O186" i="5"/>
  <c r="P186" i="5"/>
  <c r="M187" i="5"/>
  <c r="N187" i="5"/>
  <c r="O187" i="5"/>
  <c r="P187" i="5"/>
  <c r="M188" i="5"/>
  <c r="N188" i="5"/>
  <c r="O188" i="5"/>
  <c r="P188" i="5"/>
  <c r="M189" i="5"/>
  <c r="N189" i="5"/>
  <c r="O189" i="5"/>
  <c r="P189" i="5"/>
  <c r="M190" i="5"/>
  <c r="N190" i="5"/>
  <c r="O190" i="5"/>
  <c r="P190" i="5"/>
  <c r="M191" i="5"/>
  <c r="N191" i="5"/>
  <c r="O191" i="5"/>
  <c r="P191" i="5"/>
  <c r="M192" i="5"/>
  <c r="N192" i="5"/>
  <c r="O192" i="5"/>
  <c r="P192" i="5"/>
  <c r="M193" i="5"/>
  <c r="N193" i="5"/>
  <c r="O193" i="5"/>
  <c r="P193" i="5"/>
  <c r="M194" i="5"/>
  <c r="N194" i="5"/>
  <c r="O194" i="5"/>
  <c r="P194" i="5"/>
  <c r="M195" i="5"/>
  <c r="N195" i="5"/>
  <c r="O195" i="5"/>
  <c r="P195" i="5"/>
  <c r="M196" i="5"/>
  <c r="N196" i="5"/>
  <c r="O196" i="5"/>
  <c r="P196" i="5"/>
  <c r="M197" i="5"/>
  <c r="N197" i="5"/>
  <c r="O197" i="5"/>
  <c r="P197" i="5"/>
  <c r="M198" i="5"/>
  <c r="N198" i="5"/>
  <c r="O198" i="5"/>
  <c r="P198" i="5"/>
  <c r="M199" i="5"/>
  <c r="N199" i="5"/>
  <c r="O199" i="5"/>
  <c r="P199" i="5"/>
  <c r="M200" i="5"/>
  <c r="N200" i="5"/>
  <c r="O200" i="5"/>
  <c r="P200" i="5"/>
  <c r="M201" i="5"/>
  <c r="N201" i="5"/>
  <c r="O201" i="5"/>
  <c r="P201" i="5"/>
  <c r="M202" i="5"/>
  <c r="N202" i="5"/>
  <c r="O202" i="5"/>
  <c r="P202" i="5"/>
  <c r="M203" i="5"/>
  <c r="N203" i="5"/>
  <c r="O203" i="5"/>
  <c r="P203" i="5"/>
  <c r="M204" i="5"/>
  <c r="N204" i="5"/>
  <c r="O204" i="5"/>
  <c r="P204" i="5"/>
  <c r="M205" i="5"/>
  <c r="N205" i="5"/>
  <c r="O205" i="5"/>
  <c r="P205" i="5"/>
  <c r="M206" i="5"/>
  <c r="N206" i="5"/>
  <c r="O206" i="5"/>
  <c r="P206" i="5"/>
  <c r="M207" i="5"/>
  <c r="N207" i="5"/>
  <c r="O207" i="5"/>
  <c r="P207" i="5"/>
  <c r="M208" i="5"/>
  <c r="N208" i="5"/>
  <c r="O208" i="5"/>
  <c r="P208" i="5"/>
  <c r="M209" i="5"/>
  <c r="N209" i="5"/>
  <c r="O209" i="5"/>
  <c r="P209" i="5"/>
  <c r="M210" i="5"/>
  <c r="N210" i="5"/>
  <c r="O210" i="5"/>
  <c r="P210" i="5"/>
  <c r="M211" i="5"/>
  <c r="N211" i="5"/>
  <c r="O211" i="5"/>
  <c r="P211" i="5"/>
  <c r="M212" i="5"/>
  <c r="N212" i="5"/>
  <c r="O212" i="5"/>
  <c r="P212" i="5"/>
  <c r="M213" i="5"/>
  <c r="N213" i="5"/>
  <c r="O213" i="5"/>
  <c r="P213" i="5"/>
  <c r="M214" i="5"/>
  <c r="N214" i="5"/>
  <c r="O214" i="5"/>
  <c r="P214" i="5"/>
  <c r="M215" i="5"/>
  <c r="N215" i="5"/>
  <c r="O215" i="5"/>
  <c r="P215" i="5"/>
  <c r="M216" i="5"/>
  <c r="N216" i="5"/>
  <c r="O216" i="5"/>
  <c r="P216" i="5"/>
  <c r="M217" i="5"/>
  <c r="N217" i="5"/>
  <c r="O217" i="5"/>
  <c r="P217" i="5"/>
  <c r="M218" i="5"/>
  <c r="N218" i="5"/>
  <c r="O218" i="5"/>
  <c r="P218" i="5"/>
  <c r="M219" i="5"/>
  <c r="N219" i="5"/>
  <c r="O219" i="5"/>
  <c r="P219" i="5"/>
  <c r="M220" i="5"/>
  <c r="N220" i="5"/>
  <c r="O220" i="5"/>
  <c r="P220" i="5"/>
  <c r="M221" i="5"/>
  <c r="N221" i="5"/>
  <c r="O221" i="5"/>
  <c r="P221" i="5"/>
  <c r="M222" i="5"/>
  <c r="N222" i="5"/>
  <c r="O222" i="5"/>
  <c r="P222" i="5"/>
  <c r="M223" i="5"/>
  <c r="N223" i="5"/>
  <c r="O223" i="5"/>
  <c r="P223" i="5"/>
  <c r="M224" i="5"/>
  <c r="N224" i="5"/>
  <c r="O224" i="5"/>
  <c r="P224" i="5"/>
  <c r="M225" i="5"/>
  <c r="N225" i="5"/>
  <c r="O225" i="5"/>
  <c r="P225" i="5"/>
  <c r="M226" i="5"/>
  <c r="N226" i="5"/>
  <c r="O226" i="5"/>
  <c r="P226" i="5"/>
  <c r="M227" i="5"/>
  <c r="N227" i="5"/>
  <c r="O227" i="5"/>
  <c r="P227" i="5"/>
  <c r="M228" i="5"/>
  <c r="N228" i="5"/>
  <c r="O228" i="5"/>
  <c r="P228" i="5"/>
  <c r="M229" i="5"/>
  <c r="N229" i="5"/>
  <c r="O229" i="5"/>
  <c r="P229" i="5"/>
  <c r="M230" i="5"/>
  <c r="N230" i="5"/>
  <c r="O230" i="5"/>
  <c r="P230" i="5"/>
  <c r="M231" i="5"/>
  <c r="N231" i="5"/>
  <c r="O231" i="5"/>
  <c r="P231" i="5"/>
  <c r="M232" i="5"/>
  <c r="N232" i="5"/>
  <c r="O232" i="5"/>
  <c r="P232" i="5"/>
  <c r="M233" i="5"/>
  <c r="N233" i="5"/>
  <c r="O233" i="5"/>
  <c r="P233" i="5"/>
  <c r="M234" i="5"/>
  <c r="N234" i="5"/>
  <c r="O234" i="5"/>
  <c r="P234" i="5"/>
  <c r="M235" i="5"/>
  <c r="N235" i="5"/>
  <c r="O235" i="5"/>
  <c r="P235" i="5"/>
  <c r="M236" i="5"/>
  <c r="N236" i="5"/>
  <c r="O236" i="5"/>
  <c r="P236" i="5"/>
  <c r="M237" i="5"/>
  <c r="N237" i="5"/>
  <c r="O237" i="5"/>
  <c r="P237" i="5"/>
  <c r="M238" i="5"/>
  <c r="N238" i="5"/>
  <c r="O238" i="5"/>
  <c r="P238" i="5"/>
  <c r="M239" i="5"/>
  <c r="N239" i="5"/>
  <c r="O239" i="5"/>
  <c r="P239" i="5"/>
  <c r="M240" i="5"/>
  <c r="N240" i="5"/>
  <c r="O240" i="5"/>
  <c r="P240" i="5"/>
  <c r="M241" i="5"/>
  <c r="N241" i="5"/>
  <c r="O241" i="5"/>
  <c r="P241" i="5"/>
  <c r="M242" i="5"/>
  <c r="N242" i="5"/>
  <c r="O242" i="5"/>
  <c r="P242" i="5"/>
  <c r="M243" i="5"/>
  <c r="N243" i="5"/>
  <c r="O243" i="5"/>
  <c r="P243" i="5"/>
  <c r="M244" i="5"/>
  <c r="N244" i="5"/>
  <c r="O244" i="5"/>
  <c r="P244" i="5"/>
  <c r="M245" i="5"/>
  <c r="N245" i="5"/>
  <c r="O245" i="5"/>
  <c r="P245" i="5"/>
  <c r="M246" i="5"/>
  <c r="N246" i="5"/>
  <c r="O246" i="5"/>
  <c r="P246" i="5"/>
  <c r="M247" i="5"/>
  <c r="N247" i="5"/>
  <c r="O247" i="5"/>
  <c r="P247" i="5"/>
  <c r="M248" i="5"/>
  <c r="N248" i="5"/>
  <c r="O248" i="5"/>
  <c r="P248" i="5"/>
  <c r="M249" i="5"/>
  <c r="N249" i="5"/>
  <c r="O249" i="5"/>
  <c r="P249" i="5"/>
  <c r="M250" i="5"/>
  <c r="N250" i="5"/>
  <c r="O250" i="5"/>
  <c r="P250" i="5"/>
  <c r="M251" i="5"/>
  <c r="N251" i="5"/>
  <c r="O251" i="5"/>
  <c r="P251" i="5"/>
  <c r="M252" i="5"/>
  <c r="N252" i="5"/>
  <c r="O252" i="5"/>
  <c r="P252" i="5"/>
  <c r="P16" i="5"/>
  <c r="O16" i="5"/>
  <c r="N16" i="5"/>
  <c r="M16" i="5"/>
  <c r="K4" i="5"/>
  <c r="L4" i="5"/>
  <c r="K5" i="5"/>
  <c r="L5" i="5"/>
  <c r="K6" i="5"/>
  <c r="L6" i="5"/>
  <c r="K7" i="5"/>
  <c r="L7" i="5"/>
  <c r="K8" i="5"/>
  <c r="L8" i="5"/>
  <c r="K9" i="5"/>
  <c r="L9" i="5"/>
  <c r="K10" i="5"/>
  <c r="L10" i="5"/>
  <c r="K11" i="5"/>
  <c r="L11" i="5"/>
  <c r="K12" i="5"/>
  <c r="L12" i="5"/>
  <c r="K13" i="5"/>
  <c r="L13" i="5"/>
  <c r="K14" i="5"/>
  <c r="L14" i="5"/>
  <c r="K15" i="5"/>
  <c r="L15" i="5"/>
  <c r="K16" i="5"/>
  <c r="L16" i="5"/>
  <c r="K17" i="5"/>
  <c r="L17" i="5"/>
  <c r="K18" i="5"/>
  <c r="L18" i="5"/>
  <c r="K19" i="5"/>
  <c r="L19" i="5"/>
  <c r="K20" i="5"/>
  <c r="L20" i="5"/>
  <c r="K21" i="5"/>
  <c r="L21" i="5"/>
  <c r="K22" i="5"/>
  <c r="L22" i="5"/>
  <c r="K23" i="5"/>
  <c r="L23" i="5"/>
  <c r="K24" i="5"/>
  <c r="L24" i="5"/>
  <c r="K25" i="5"/>
  <c r="L25" i="5"/>
  <c r="K26" i="5"/>
  <c r="L26" i="5"/>
  <c r="K27" i="5"/>
  <c r="L27" i="5"/>
  <c r="K28" i="5"/>
  <c r="L28" i="5"/>
  <c r="K29" i="5"/>
  <c r="L29" i="5"/>
  <c r="K30" i="5"/>
  <c r="L30" i="5"/>
  <c r="K31" i="5"/>
  <c r="L31" i="5"/>
  <c r="K32" i="5"/>
  <c r="L32" i="5"/>
  <c r="K33" i="5"/>
  <c r="L33" i="5"/>
  <c r="K34" i="5"/>
  <c r="L34" i="5"/>
  <c r="K35" i="5"/>
  <c r="L35" i="5"/>
  <c r="K36" i="5"/>
  <c r="L36" i="5"/>
  <c r="K37" i="5"/>
  <c r="L37" i="5"/>
  <c r="K38" i="5"/>
  <c r="L38" i="5"/>
  <c r="K39" i="5"/>
  <c r="L39" i="5"/>
  <c r="K40" i="5"/>
  <c r="L40" i="5"/>
  <c r="K41" i="5"/>
  <c r="L41" i="5"/>
  <c r="K42" i="5"/>
  <c r="L42" i="5"/>
  <c r="K43" i="5"/>
  <c r="L43" i="5"/>
  <c r="K44" i="5"/>
  <c r="L44" i="5"/>
  <c r="K45" i="5"/>
  <c r="L45" i="5"/>
  <c r="K46" i="5"/>
  <c r="L46" i="5"/>
  <c r="K47" i="5"/>
  <c r="L47" i="5"/>
  <c r="K48" i="5"/>
  <c r="L48" i="5"/>
  <c r="K49" i="5"/>
  <c r="L49" i="5"/>
  <c r="K50" i="5"/>
  <c r="L50" i="5"/>
  <c r="K51" i="5"/>
  <c r="L51" i="5"/>
  <c r="K52" i="5"/>
  <c r="L52" i="5"/>
  <c r="K53" i="5"/>
  <c r="L53" i="5"/>
  <c r="K54" i="5"/>
  <c r="L54" i="5"/>
  <c r="K55" i="5"/>
  <c r="L55" i="5"/>
  <c r="K56" i="5"/>
  <c r="L56" i="5"/>
  <c r="K57" i="5"/>
  <c r="L57" i="5"/>
  <c r="K58" i="5"/>
  <c r="L58" i="5"/>
  <c r="K59" i="5"/>
  <c r="L59" i="5"/>
  <c r="K60" i="5"/>
  <c r="L60" i="5"/>
  <c r="K61" i="5"/>
  <c r="L61" i="5"/>
  <c r="K62" i="5"/>
  <c r="L62" i="5"/>
  <c r="K63" i="5"/>
  <c r="L63" i="5"/>
  <c r="K64" i="5"/>
  <c r="L64" i="5"/>
  <c r="K65" i="5"/>
  <c r="L65" i="5"/>
  <c r="K66" i="5"/>
  <c r="L66" i="5"/>
  <c r="K67" i="5"/>
  <c r="L67" i="5"/>
  <c r="K68" i="5"/>
  <c r="L68" i="5"/>
  <c r="K69" i="5"/>
  <c r="L69" i="5"/>
  <c r="K70" i="5"/>
  <c r="L70" i="5"/>
  <c r="K71" i="5"/>
  <c r="L71" i="5"/>
  <c r="K72" i="5"/>
  <c r="L72" i="5"/>
  <c r="K73" i="5"/>
  <c r="L73" i="5"/>
  <c r="K74" i="5"/>
  <c r="L74" i="5"/>
  <c r="K75" i="5"/>
  <c r="L75" i="5"/>
  <c r="K76" i="5"/>
  <c r="L76" i="5"/>
  <c r="K77" i="5"/>
  <c r="L77" i="5"/>
  <c r="K78" i="5"/>
  <c r="L78" i="5"/>
  <c r="K79" i="5"/>
  <c r="L79" i="5"/>
  <c r="K80" i="5"/>
  <c r="L80" i="5"/>
  <c r="K81" i="5"/>
  <c r="L81" i="5"/>
  <c r="K82" i="5"/>
  <c r="L82" i="5"/>
  <c r="K83" i="5"/>
  <c r="L83" i="5"/>
  <c r="K84" i="5"/>
  <c r="L84" i="5"/>
  <c r="K85" i="5"/>
  <c r="L85" i="5"/>
  <c r="K86" i="5"/>
  <c r="L86" i="5"/>
  <c r="K87" i="5"/>
  <c r="L87" i="5"/>
  <c r="K88" i="5"/>
  <c r="L88" i="5"/>
  <c r="K89" i="5"/>
  <c r="L89" i="5"/>
  <c r="K90" i="5"/>
  <c r="L90" i="5"/>
  <c r="K91" i="5"/>
  <c r="L91" i="5"/>
  <c r="K92" i="5"/>
  <c r="L92" i="5"/>
  <c r="K93" i="5"/>
  <c r="L93" i="5"/>
  <c r="K94" i="5"/>
  <c r="L94" i="5"/>
  <c r="K95" i="5"/>
  <c r="L95" i="5"/>
  <c r="K96" i="5"/>
  <c r="L96" i="5"/>
  <c r="K97" i="5"/>
  <c r="L97" i="5"/>
  <c r="K98" i="5"/>
  <c r="L98" i="5"/>
  <c r="K99" i="5"/>
  <c r="L99" i="5"/>
  <c r="K100" i="5"/>
  <c r="L100" i="5"/>
  <c r="K101" i="5"/>
  <c r="L101" i="5"/>
  <c r="K102" i="5"/>
  <c r="L102" i="5"/>
  <c r="K103" i="5"/>
  <c r="L103" i="5"/>
  <c r="K104" i="5"/>
  <c r="L104" i="5"/>
  <c r="K105" i="5"/>
  <c r="L105" i="5"/>
  <c r="K106" i="5"/>
  <c r="L106" i="5"/>
  <c r="K107" i="5"/>
  <c r="L107" i="5"/>
  <c r="K108" i="5"/>
  <c r="L108" i="5"/>
  <c r="K109" i="5"/>
  <c r="L109" i="5"/>
  <c r="K110" i="5"/>
  <c r="L110" i="5"/>
  <c r="K111" i="5"/>
  <c r="L111" i="5"/>
  <c r="K112" i="5"/>
  <c r="L112" i="5"/>
  <c r="K113" i="5"/>
  <c r="L113" i="5"/>
  <c r="K114" i="5"/>
  <c r="L114" i="5"/>
  <c r="K115" i="5"/>
  <c r="L115" i="5"/>
  <c r="K116" i="5"/>
  <c r="L116" i="5"/>
  <c r="K117" i="5"/>
  <c r="L117" i="5"/>
  <c r="K118" i="5"/>
  <c r="L118" i="5"/>
  <c r="K119" i="5"/>
  <c r="L119" i="5"/>
  <c r="K120" i="5"/>
  <c r="L120" i="5"/>
  <c r="K121" i="5"/>
  <c r="L121" i="5"/>
  <c r="K122" i="5"/>
  <c r="L122" i="5"/>
  <c r="K123" i="5"/>
  <c r="L123" i="5"/>
  <c r="K124" i="5"/>
  <c r="L124" i="5"/>
  <c r="K125" i="5"/>
  <c r="L125" i="5"/>
  <c r="K126" i="5"/>
  <c r="L126" i="5"/>
  <c r="K127" i="5"/>
  <c r="L127" i="5"/>
  <c r="K128" i="5"/>
  <c r="L128" i="5"/>
  <c r="K129" i="5"/>
  <c r="L129" i="5"/>
  <c r="K130" i="5"/>
  <c r="L130" i="5"/>
  <c r="K131" i="5"/>
  <c r="L131" i="5"/>
  <c r="K132" i="5"/>
  <c r="L132" i="5"/>
  <c r="K133" i="5"/>
  <c r="L133" i="5"/>
  <c r="K134" i="5"/>
  <c r="L134" i="5"/>
  <c r="K135" i="5"/>
  <c r="L135" i="5"/>
  <c r="K136" i="5"/>
  <c r="L136" i="5"/>
  <c r="K137" i="5"/>
  <c r="L137" i="5"/>
  <c r="K138" i="5"/>
  <c r="L138" i="5"/>
  <c r="K139" i="5"/>
  <c r="L139" i="5"/>
  <c r="K140" i="5"/>
  <c r="L140" i="5"/>
  <c r="K141" i="5"/>
  <c r="L141" i="5"/>
  <c r="K142" i="5"/>
  <c r="L142" i="5"/>
  <c r="K143" i="5"/>
  <c r="L143" i="5"/>
  <c r="K144" i="5"/>
  <c r="L144" i="5"/>
  <c r="K145" i="5"/>
  <c r="L145" i="5"/>
  <c r="K146" i="5"/>
  <c r="L146" i="5"/>
  <c r="K147" i="5"/>
  <c r="L147" i="5"/>
  <c r="K148" i="5"/>
  <c r="L148" i="5"/>
  <c r="K149" i="5"/>
  <c r="L149" i="5"/>
  <c r="K150" i="5"/>
  <c r="L150" i="5"/>
  <c r="K151" i="5"/>
  <c r="L151" i="5"/>
  <c r="K152" i="5"/>
  <c r="L152" i="5"/>
  <c r="K153" i="5"/>
  <c r="L153" i="5"/>
  <c r="K154" i="5"/>
  <c r="L154" i="5"/>
  <c r="K155" i="5"/>
  <c r="L155" i="5"/>
  <c r="K156" i="5"/>
  <c r="L156" i="5"/>
  <c r="K157" i="5"/>
  <c r="L157" i="5"/>
  <c r="K158" i="5"/>
  <c r="L158" i="5"/>
  <c r="K159" i="5"/>
  <c r="L159" i="5"/>
  <c r="K160" i="5"/>
  <c r="L160" i="5"/>
  <c r="K161" i="5"/>
  <c r="L161" i="5"/>
  <c r="K162" i="5"/>
  <c r="L162" i="5"/>
  <c r="K163" i="5"/>
  <c r="L163" i="5"/>
  <c r="K164" i="5"/>
  <c r="L164" i="5"/>
  <c r="K165" i="5"/>
  <c r="L165" i="5"/>
  <c r="K166" i="5"/>
  <c r="L166" i="5"/>
  <c r="K167" i="5"/>
  <c r="L167" i="5"/>
  <c r="K168" i="5"/>
  <c r="L168" i="5"/>
  <c r="K169" i="5"/>
  <c r="L169" i="5"/>
  <c r="K170" i="5"/>
  <c r="L170" i="5"/>
  <c r="K171" i="5"/>
  <c r="L171" i="5"/>
  <c r="K172" i="5"/>
  <c r="L172" i="5"/>
  <c r="K173" i="5"/>
  <c r="L173" i="5"/>
  <c r="K174" i="5"/>
  <c r="L174" i="5"/>
  <c r="K175" i="5"/>
  <c r="L175" i="5"/>
  <c r="K176" i="5"/>
  <c r="L176" i="5"/>
  <c r="K177" i="5"/>
  <c r="L177" i="5"/>
  <c r="K178" i="5"/>
  <c r="L178" i="5"/>
  <c r="K179" i="5"/>
  <c r="L179" i="5"/>
  <c r="K180" i="5"/>
  <c r="L180" i="5"/>
  <c r="K181" i="5"/>
  <c r="L181" i="5"/>
  <c r="K182" i="5"/>
  <c r="L182" i="5"/>
  <c r="K183" i="5"/>
  <c r="L183" i="5"/>
  <c r="K184" i="5"/>
  <c r="L184" i="5"/>
  <c r="K185" i="5"/>
  <c r="L185" i="5"/>
  <c r="K186" i="5"/>
  <c r="L186" i="5"/>
  <c r="K187" i="5"/>
  <c r="L187" i="5"/>
  <c r="K188" i="5"/>
  <c r="L188" i="5"/>
  <c r="K189" i="5"/>
  <c r="L189" i="5"/>
  <c r="K190" i="5"/>
  <c r="L190" i="5"/>
  <c r="K191" i="5"/>
  <c r="L191" i="5"/>
  <c r="K192" i="5"/>
  <c r="L192" i="5"/>
  <c r="K193" i="5"/>
  <c r="L193" i="5"/>
  <c r="K194" i="5"/>
  <c r="L194" i="5"/>
  <c r="K195" i="5"/>
  <c r="L195" i="5"/>
  <c r="K196" i="5"/>
  <c r="L196" i="5"/>
  <c r="K197" i="5"/>
  <c r="L197" i="5"/>
  <c r="K198" i="5"/>
  <c r="L198" i="5"/>
  <c r="K199" i="5"/>
  <c r="L199" i="5"/>
  <c r="K200" i="5"/>
  <c r="L200" i="5"/>
  <c r="K201" i="5"/>
  <c r="L201" i="5"/>
  <c r="K202" i="5"/>
  <c r="L202" i="5"/>
  <c r="K203" i="5"/>
  <c r="L203" i="5"/>
  <c r="K204" i="5"/>
  <c r="L204" i="5"/>
  <c r="K205" i="5"/>
  <c r="L205" i="5"/>
  <c r="K206" i="5"/>
  <c r="L206" i="5"/>
  <c r="K207" i="5"/>
  <c r="L207" i="5"/>
  <c r="K208" i="5"/>
  <c r="L208" i="5"/>
  <c r="K209" i="5"/>
  <c r="L209" i="5"/>
  <c r="K210" i="5"/>
  <c r="L210" i="5"/>
  <c r="K211" i="5"/>
  <c r="L211" i="5"/>
  <c r="K212" i="5"/>
  <c r="L212" i="5"/>
  <c r="K213" i="5"/>
  <c r="L213" i="5"/>
  <c r="K214" i="5"/>
  <c r="L214" i="5"/>
  <c r="K215" i="5"/>
  <c r="L215" i="5"/>
  <c r="K216" i="5"/>
  <c r="L216" i="5"/>
  <c r="K217" i="5"/>
  <c r="L217" i="5"/>
  <c r="K218" i="5"/>
  <c r="L218" i="5"/>
  <c r="K219" i="5"/>
  <c r="L219" i="5"/>
  <c r="K220" i="5"/>
  <c r="L220" i="5"/>
  <c r="K221" i="5"/>
  <c r="L221" i="5"/>
  <c r="K222" i="5"/>
  <c r="L222" i="5"/>
  <c r="K223" i="5"/>
  <c r="L223" i="5"/>
  <c r="K224" i="5"/>
  <c r="L224" i="5"/>
  <c r="K225" i="5"/>
  <c r="L225" i="5"/>
  <c r="K226" i="5"/>
  <c r="L226" i="5"/>
  <c r="K227" i="5"/>
  <c r="L227" i="5"/>
  <c r="K228" i="5"/>
  <c r="L228" i="5"/>
  <c r="K229" i="5"/>
  <c r="L229" i="5"/>
  <c r="K230" i="5"/>
  <c r="L230" i="5"/>
  <c r="K231" i="5"/>
  <c r="L231" i="5"/>
  <c r="K232" i="5"/>
  <c r="L232" i="5"/>
  <c r="K233" i="5"/>
  <c r="L233" i="5"/>
  <c r="K234" i="5"/>
  <c r="L234" i="5"/>
  <c r="K235" i="5"/>
  <c r="L235" i="5"/>
  <c r="K236" i="5"/>
  <c r="L236" i="5"/>
  <c r="K237" i="5"/>
  <c r="L237" i="5"/>
  <c r="K238" i="5"/>
  <c r="L238" i="5"/>
  <c r="K239" i="5"/>
  <c r="L239" i="5"/>
  <c r="K240" i="5"/>
  <c r="L240" i="5"/>
  <c r="K241" i="5"/>
  <c r="L241" i="5"/>
  <c r="K242" i="5"/>
  <c r="L242" i="5"/>
  <c r="K243" i="5"/>
  <c r="L243" i="5"/>
  <c r="K244" i="5"/>
  <c r="L244" i="5"/>
  <c r="K245" i="5"/>
  <c r="L245" i="5"/>
  <c r="K246" i="5"/>
  <c r="L246" i="5"/>
  <c r="K247" i="5"/>
  <c r="L247" i="5"/>
  <c r="K248" i="5"/>
  <c r="L248" i="5"/>
  <c r="K249" i="5"/>
  <c r="L249" i="5"/>
  <c r="K250" i="5"/>
  <c r="L250" i="5"/>
  <c r="K251" i="5"/>
  <c r="L251" i="5"/>
  <c r="K252" i="5"/>
  <c r="L252" i="5"/>
  <c r="L3" i="5"/>
  <c r="K3" i="5"/>
  <c r="J4" i="5"/>
  <c r="J5" i="5"/>
  <c r="J6" i="5"/>
  <c r="J7" i="5"/>
  <c r="J8" i="5"/>
  <c r="J9" i="5"/>
  <c r="J10" i="5"/>
  <c r="J11" i="5"/>
  <c r="J12" i="5"/>
  <c r="J13" i="5"/>
  <c r="J14" i="5"/>
  <c r="J15" i="5"/>
  <c r="J16" i="5"/>
  <c r="J17" i="5"/>
  <c r="J18" i="5"/>
  <c r="J19" i="5"/>
  <c r="J20" i="5"/>
  <c r="J21" i="5"/>
  <c r="J22" i="5"/>
  <c r="J23" i="5"/>
  <c r="J24" i="5"/>
  <c r="J25" i="5"/>
  <c r="J26" i="5"/>
  <c r="J27" i="5"/>
  <c r="J28" i="5"/>
  <c r="J29" i="5"/>
  <c r="J30" i="5"/>
  <c r="J31" i="5"/>
  <c r="J32" i="5"/>
  <c r="J33" i="5"/>
  <c r="J34" i="5"/>
  <c r="J35" i="5"/>
  <c r="J36" i="5"/>
  <c r="J37" i="5"/>
  <c r="J38" i="5"/>
  <c r="J39" i="5"/>
  <c r="J40" i="5"/>
  <c r="J41" i="5"/>
  <c r="J42" i="5"/>
  <c r="J43" i="5"/>
  <c r="J44" i="5"/>
  <c r="J45" i="5"/>
  <c r="J46" i="5"/>
  <c r="J47" i="5"/>
  <c r="J48" i="5"/>
  <c r="J49" i="5"/>
  <c r="J50" i="5"/>
  <c r="J51" i="5"/>
  <c r="J52" i="5"/>
  <c r="J53" i="5"/>
  <c r="J54" i="5"/>
  <c r="J55" i="5"/>
  <c r="J56" i="5"/>
  <c r="J57" i="5"/>
  <c r="J58" i="5"/>
  <c r="J59" i="5"/>
  <c r="J60" i="5"/>
  <c r="J61" i="5"/>
  <c r="J62" i="5"/>
  <c r="J63" i="5"/>
  <c r="J64" i="5"/>
  <c r="J65" i="5"/>
  <c r="J66" i="5"/>
  <c r="J67" i="5"/>
  <c r="J68" i="5"/>
  <c r="J69" i="5"/>
  <c r="J70" i="5"/>
  <c r="J71" i="5"/>
  <c r="J72" i="5"/>
  <c r="J73" i="5"/>
  <c r="J74" i="5"/>
  <c r="J75" i="5"/>
  <c r="J76" i="5"/>
  <c r="J77" i="5"/>
  <c r="J78" i="5"/>
  <c r="J79" i="5"/>
  <c r="J80" i="5"/>
  <c r="J81" i="5"/>
  <c r="J82" i="5"/>
  <c r="J83" i="5"/>
  <c r="J84" i="5"/>
  <c r="J85" i="5"/>
  <c r="J86" i="5"/>
  <c r="J87" i="5"/>
  <c r="J88" i="5"/>
  <c r="J89" i="5"/>
  <c r="J90" i="5"/>
  <c r="J91" i="5"/>
  <c r="J92" i="5"/>
  <c r="J93" i="5"/>
  <c r="J94" i="5"/>
  <c r="J95" i="5"/>
  <c r="J96" i="5"/>
  <c r="J97" i="5"/>
  <c r="J98" i="5"/>
  <c r="J99" i="5"/>
  <c r="J100" i="5"/>
  <c r="J101" i="5"/>
  <c r="J102" i="5"/>
  <c r="J103" i="5"/>
  <c r="J104" i="5"/>
  <c r="J105" i="5"/>
  <c r="J106" i="5"/>
  <c r="J107" i="5"/>
  <c r="J108" i="5"/>
  <c r="J109" i="5"/>
  <c r="J110" i="5"/>
  <c r="J111" i="5"/>
  <c r="J112" i="5"/>
  <c r="J113" i="5"/>
  <c r="J114" i="5"/>
  <c r="J115" i="5"/>
  <c r="J116" i="5"/>
  <c r="J117" i="5"/>
  <c r="J118" i="5"/>
  <c r="J119" i="5"/>
  <c r="J120" i="5"/>
  <c r="J121" i="5"/>
  <c r="J122" i="5"/>
  <c r="J123" i="5"/>
  <c r="J124" i="5"/>
  <c r="J125" i="5"/>
  <c r="J126" i="5"/>
  <c r="J127" i="5"/>
  <c r="J128" i="5"/>
  <c r="J129" i="5"/>
  <c r="J130" i="5"/>
  <c r="J131" i="5"/>
  <c r="J132" i="5"/>
  <c r="J133" i="5"/>
  <c r="J134" i="5"/>
  <c r="J135" i="5"/>
  <c r="J136" i="5"/>
  <c r="J137" i="5"/>
  <c r="J138" i="5"/>
  <c r="J139" i="5"/>
  <c r="J140" i="5"/>
  <c r="J141" i="5"/>
  <c r="J142" i="5"/>
  <c r="J143" i="5"/>
  <c r="J144" i="5"/>
  <c r="J145" i="5"/>
  <c r="J146" i="5"/>
  <c r="J147" i="5"/>
  <c r="J148" i="5"/>
  <c r="J149" i="5"/>
  <c r="J150" i="5"/>
  <c r="J151" i="5"/>
  <c r="J152" i="5"/>
  <c r="J153" i="5"/>
  <c r="J154" i="5"/>
  <c r="J155" i="5"/>
  <c r="J156" i="5"/>
  <c r="J157" i="5"/>
  <c r="J158" i="5"/>
  <c r="J159" i="5"/>
  <c r="J160" i="5"/>
  <c r="J161" i="5"/>
  <c r="J162" i="5"/>
  <c r="J163" i="5"/>
  <c r="J164" i="5"/>
  <c r="J165" i="5"/>
  <c r="J166" i="5"/>
  <c r="J167" i="5"/>
  <c r="J168" i="5"/>
  <c r="J169" i="5"/>
  <c r="J170" i="5"/>
  <c r="J171" i="5"/>
  <c r="J172" i="5"/>
  <c r="J173" i="5"/>
  <c r="J174" i="5"/>
  <c r="J175" i="5"/>
  <c r="J176" i="5"/>
  <c r="J177" i="5"/>
  <c r="J178" i="5"/>
  <c r="J179" i="5"/>
  <c r="J180" i="5"/>
  <c r="J181" i="5"/>
  <c r="J182" i="5"/>
  <c r="J183" i="5"/>
  <c r="J184" i="5"/>
  <c r="J185" i="5"/>
  <c r="J186" i="5"/>
  <c r="J187" i="5"/>
  <c r="J188" i="5"/>
  <c r="J189" i="5"/>
  <c r="J190" i="5"/>
  <c r="J191" i="5"/>
  <c r="J192" i="5"/>
  <c r="J193" i="5"/>
  <c r="J194" i="5"/>
  <c r="J195" i="5"/>
  <c r="J196" i="5"/>
  <c r="J197" i="5"/>
  <c r="J198" i="5"/>
  <c r="J199" i="5"/>
  <c r="J200" i="5"/>
  <c r="J201" i="5"/>
  <c r="J202" i="5"/>
  <c r="J203" i="5"/>
  <c r="J204" i="5"/>
  <c r="J205" i="5"/>
  <c r="J206" i="5"/>
  <c r="J207" i="5"/>
  <c r="J208" i="5"/>
  <c r="J209" i="5"/>
  <c r="J210" i="5"/>
  <c r="J211" i="5"/>
  <c r="J212" i="5"/>
  <c r="J213" i="5"/>
  <c r="J214" i="5"/>
  <c r="J215" i="5"/>
  <c r="J216" i="5"/>
  <c r="J217" i="5"/>
  <c r="J218" i="5"/>
  <c r="J219" i="5"/>
  <c r="J220" i="5"/>
  <c r="J221" i="5"/>
  <c r="J222" i="5"/>
  <c r="J223" i="5"/>
  <c r="J224" i="5"/>
  <c r="J225" i="5"/>
  <c r="J226" i="5"/>
  <c r="J227" i="5"/>
  <c r="J228" i="5"/>
  <c r="J229" i="5"/>
  <c r="J230" i="5"/>
  <c r="J231" i="5"/>
  <c r="J232" i="5"/>
  <c r="J233" i="5"/>
  <c r="J234" i="5"/>
  <c r="J235" i="5"/>
  <c r="J236" i="5"/>
  <c r="J237" i="5"/>
  <c r="J238" i="5"/>
  <c r="J239" i="5"/>
  <c r="J240" i="5"/>
  <c r="J241" i="5"/>
  <c r="J242" i="5"/>
  <c r="J243" i="5"/>
  <c r="J244" i="5"/>
  <c r="J245" i="5"/>
  <c r="J246" i="5"/>
  <c r="J247" i="5"/>
  <c r="J248" i="5"/>
  <c r="J249" i="5"/>
  <c r="J250" i="5"/>
  <c r="J251" i="5"/>
  <c r="J252" i="5"/>
  <c r="J3" i="5"/>
  <c r="I17" i="5"/>
  <c r="I18" i="5"/>
  <c r="I19" i="5"/>
  <c r="I20" i="5"/>
  <c r="I21" i="5"/>
  <c r="I22" i="5"/>
  <c r="I23" i="5"/>
  <c r="I24" i="5"/>
  <c r="I25" i="5"/>
  <c r="I26" i="5"/>
  <c r="I27" i="5"/>
  <c r="I28" i="5"/>
  <c r="I29" i="5"/>
  <c r="I30" i="5"/>
  <c r="I31" i="5"/>
  <c r="I32" i="5"/>
  <c r="I33" i="5"/>
  <c r="I34" i="5"/>
  <c r="I35" i="5"/>
  <c r="I36" i="5"/>
  <c r="I37" i="5"/>
  <c r="I38" i="5"/>
  <c r="I39" i="5"/>
  <c r="I40" i="5"/>
  <c r="I41" i="5"/>
  <c r="I42" i="5"/>
  <c r="I43" i="5"/>
  <c r="I44" i="5"/>
  <c r="I45" i="5"/>
  <c r="I46" i="5"/>
  <c r="I47" i="5"/>
  <c r="I48" i="5"/>
  <c r="I49" i="5"/>
  <c r="I50" i="5"/>
  <c r="I51" i="5"/>
  <c r="I52" i="5"/>
  <c r="I53" i="5"/>
  <c r="I54" i="5"/>
  <c r="I55" i="5"/>
  <c r="I56" i="5"/>
  <c r="I57" i="5"/>
  <c r="I58" i="5"/>
  <c r="I59" i="5"/>
  <c r="I60" i="5"/>
  <c r="I61" i="5"/>
  <c r="I62" i="5"/>
  <c r="I63" i="5"/>
  <c r="I64" i="5"/>
  <c r="I65" i="5"/>
  <c r="I66" i="5"/>
  <c r="I67" i="5"/>
  <c r="I68" i="5"/>
  <c r="I69" i="5"/>
  <c r="I70" i="5"/>
  <c r="I71" i="5"/>
  <c r="I72" i="5"/>
  <c r="I73" i="5"/>
  <c r="I74" i="5"/>
  <c r="I75" i="5"/>
  <c r="I76" i="5"/>
  <c r="I77" i="5"/>
  <c r="I78" i="5"/>
  <c r="I79" i="5"/>
  <c r="I80" i="5"/>
  <c r="I81" i="5"/>
  <c r="I82" i="5"/>
  <c r="I83" i="5"/>
  <c r="I84" i="5"/>
  <c r="I85" i="5"/>
  <c r="I86" i="5"/>
  <c r="I87" i="5"/>
  <c r="I88" i="5"/>
  <c r="I89" i="5"/>
  <c r="I90" i="5"/>
  <c r="I91" i="5"/>
  <c r="I92" i="5"/>
  <c r="I93" i="5"/>
  <c r="I94" i="5"/>
  <c r="I95" i="5"/>
  <c r="I96" i="5"/>
  <c r="I97" i="5"/>
  <c r="I98" i="5"/>
  <c r="I99" i="5"/>
  <c r="I100" i="5"/>
  <c r="I101" i="5"/>
  <c r="I102" i="5"/>
  <c r="I103" i="5"/>
  <c r="I104" i="5"/>
  <c r="I105" i="5"/>
  <c r="I106" i="5"/>
  <c r="I107" i="5"/>
  <c r="I108" i="5"/>
  <c r="I109" i="5"/>
  <c r="I110" i="5"/>
  <c r="I111" i="5"/>
  <c r="I112" i="5"/>
  <c r="I113" i="5"/>
  <c r="I114" i="5"/>
  <c r="I115" i="5"/>
  <c r="I116" i="5"/>
  <c r="I117" i="5"/>
  <c r="I118" i="5"/>
  <c r="I119" i="5"/>
  <c r="I120" i="5"/>
  <c r="I121" i="5"/>
  <c r="I122" i="5"/>
  <c r="I123" i="5"/>
  <c r="I124" i="5"/>
  <c r="I125" i="5"/>
  <c r="I126" i="5"/>
  <c r="I127" i="5"/>
  <c r="I128" i="5"/>
  <c r="I129" i="5"/>
  <c r="I130" i="5"/>
  <c r="I131" i="5"/>
  <c r="I132" i="5"/>
  <c r="I133" i="5"/>
  <c r="I134" i="5"/>
  <c r="I135" i="5"/>
  <c r="I136" i="5"/>
  <c r="I137" i="5"/>
  <c r="I138" i="5"/>
  <c r="I139" i="5"/>
  <c r="I140" i="5"/>
  <c r="I141" i="5"/>
  <c r="I142" i="5"/>
  <c r="I143" i="5"/>
  <c r="I144" i="5"/>
  <c r="I145" i="5"/>
  <c r="I146" i="5"/>
  <c r="I147" i="5"/>
  <c r="I148" i="5"/>
  <c r="I149" i="5"/>
  <c r="I150" i="5"/>
  <c r="I151" i="5"/>
  <c r="I152" i="5"/>
  <c r="I153" i="5"/>
  <c r="I154" i="5"/>
  <c r="I155" i="5"/>
  <c r="I156" i="5"/>
  <c r="I157" i="5"/>
  <c r="I158" i="5"/>
  <c r="I159" i="5"/>
  <c r="I160" i="5"/>
  <c r="I161" i="5"/>
  <c r="I162" i="5"/>
  <c r="I163" i="5"/>
  <c r="I164" i="5"/>
  <c r="I165" i="5"/>
  <c r="I166" i="5"/>
  <c r="I167" i="5"/>
  <c r="I168" i="5"/>
  <c r="I169" i="5"/>
  <c r="I170" i="5"/>
  <c r="I171" i="5"/>
  <c r="I172" i="5"/>
  <c r="I173" i="5"/>
  <c r="I174" i="5"/>
  <c r="I175" i="5"/>
  <c r="I176" i="5"/>
  <c r="I177" i="5"/>
  <c r="I178" i="5"/>
  <c r="I179" i="5"/>
  <c r="I180" i="5"/>
  <c r="I181" i="5"/>
  <c r="I182" i="5"/>
  <c r="I183" i="5"/>
  <c r="I184" i="5"/>
  <c r="I185" i="5"/>
  <c r="I186" i="5"/>
  <c r="I187" i="5"/>
  <c r="I188" i="5"/>
  <c r="I189" i="5"/>
  <c r="I190" i="5"/>
  <c r="I191" i="5"/>
  <c r="I192" i="5"/>
  <c r="I193" i="5"/>
  <c r="I194" i="5"/>
  <c r="I195" i="5"/>
  <c r="I196" i="5"/>
  <c r="I197" i="5"/>
  <c r="I198" i="5"/>
  <c r="I199" i="5"/>
  <c r="I200" i="5"/>
  <c r="I201" i="5"/>
  <c r="I202" i="5"/>
  <c r="I203" i="5"/>
  <c r="I204" i="5"/>
  <c r="I205" i="5"/>
  <c r="I206" i="5"/>
  <c r="I207" i="5"/>
  <c r="I208" i="5"/>
  <c r="I209" i="5"/>
  <c r="I210" i="5"/>
  <c r="I211" i="5"/>
  <c r="I212" i="5"/>
  <c r="I213" i="5"/>
  <c r="I214" i="5"/>
  <c r="I215" i="5"/>
  <c r="I216" i="5"/>
  <c r="I217" i="5"/>
  <c r="I218" i="5"/>
  <c r="I219" i="5"/>
  <c r="I220" i="5"/>
  <c r="I221" i="5"/>
  <c r="I222" i="5"/>
  <c r="I223" i="5"/>
  <c r="I224" i="5"/>
  <c r="I225" i="5"/>
  <c r="I226" i="5"/>
  <c r="I227" i="5"/>
  <c r="I228" i="5"/>
  <c r="I229" i="5"/>
  <c r="I230" i="5"/>
  <c r="I231" i="5"/>
  <c r="I232" i="5"/>
  <c r="I233" i="5"/>
  <c r="I234" i="5"/>
  <c r="I235" i="5"/>
  <c r="I236" i="5"/>
  <c r="I237" i="5"/>
  <c r="I238" i="5"/>
  <c r="I239" i="5"/>
  <c r="I240" i="5"/>
  <c r="I241" i="5"/>
  <c r="I242" i="5"/>
  <c r="I243" i="5"/>
  <c r="I244" i="5"/>
  <c r="I245" i="5"/>
  <c r="I246" i="5"/>
  <c r="I247" i="5"/>
  <c r="I248" i="5"/>
  <c r="I249" i="5"/>
  <c r="I250" i="5"/>
  <c r="I251" i="5"/>
  <c r="I252" i="5"/>
  <c r="H20" i="5"/>
  <c r="H21" i="5"/>
  <c r="H22" i="5"/>
  <c r="H23" i="5"/>
  <c r="H24" i="5"/>
  <c r="H25" i="5"/>
  <c r="H26" i="5"/>
  <c r="H27" i="5"/>
  <c r="H28" i="5"/>
  <c r="H29" i="5"/>
  <c r="H30" i="5"/>
  <c r="H31" i="5"/>
  <c r="H32" i="5"/>
  <c r="H33" i="5"/>
  <c r="H34" i="5"/>
  <c r="H35" i="5"/>
  <c r="H36" i="5"/>
  <c r="H37" i="5"/>
  <c r="H38" i="5"/>
  <c r="H39" i="5"/>
  <c r="H40" i="5"/>
  <c r="H41" i="5"/>
  <c r="H42" i="5"/>
  <c r="H43" i="5"/>
  <c r="H44" i="5"/>
  <c r="H45" i="5"/>
  <c r="H46" i="5"/>
  <c r="H47" i="5"/>
  <c r="H48" i="5"/>
  <c r="H49" i="5"/>
  <c r="H50" i="5"/>
  <c r="H51" i="5"/>
  <c r="H52" i="5"/>
  <c r="H53" i="5"/>
  <c r="H54" i="5"/>
  <c r="H55" i="5"/>
  <c r="H56" i="5"/>
  <c r="H57" i="5"/>
  <c r="H58" i="5"/>
  <c r="H59" i="5"/>
  <c r="H60" i="5"/>
  <c r="H61" i="5"/>
  <c r="H62" i="5"/>
  <c r="H63" i="5"/>
  <c r="H64" i="5"/>
  <c r="H65" i="5"/>
  <c r="H66" i="5"/>
  <c r="H67" i="5"/>
  <c r="H68" i="5"/>
  <c r="H69" i="5"/>
  <c r="H70" i="5"/>
  <c r="H71" i="5"/>
  <c r="H72" i="5"/>
  <c r="H73" i="5"/>
  <c r="H74" i="5"/>
  <c r="H75" i="5"/>
  <c r="H76" i="5"/>
  <c r="H77" i="5"/>
  <c r="H78" i="5"/>
  <c r="H79" i="5"/>
  <c r="H80" i="5"/>
  <c r="H81" i="5"/>
  <c r="H82" i="5"/>
  <c r="H83" i="5"/>
  <c r="H84" i="5"/>
  <c r="H85" i="5"/>
  <c r="H86" i="5"/>
  <c r="H87" i="5"/>
  <c r="H88" i="5"/>
  <c r="H89" i="5"/>
  <c r="H90" i="5"/>
  <c r="H91" i="5"/>
  <c r="H92" i="5"/>
  <c r="H93" i="5"/>
  <c r="H94" i="5"/>
  <c r="H95" i="5"/>
  <c r="H96" i="5"/>
  <c r="H97" i="5"/>
  <c r="H98" i="5"/>
  <c r="H99" i="5"/>
  <c r="H100" i="5"/>
  <c r="H101" i="5"/>
  <c r="H102" i="5"/>
  <c r="H103" i="5"/>
  <c r="H104" i="5"/>
  <c r="H105" i="5"/>
  <c r="H106" i="5"/>
  <c r="H107" i="5"/>
  <c r="H108" i="5"/>
  <c r="H109" i="5"/>
  <c r="H110" i="5"/>
  <c r="H111" i="5"/>
  <c r="H112" i="5"/>
  <c r="H113" i="5"/>
  <c r="H114" i="5"/>
  <c r="H115" i="5"/>
  <c r="H116" i="5"/>
  <c r="H117" i="5"/>
  <c r="H118" i="5"/>
  <c r="H119" i="5"/>
  <c r="H120" i="5"/>
  <c r="H121" i="5"/>
  <c r="H122" i="5"/>
  <c r="H123" i="5"/>
  <c r="H124" i="5"/>
  <c r="H125" i="5"/>
  <c r="H126" i="5"/>
  <c r="H127" i="5"/>
  <c r="H128" i="5"/>
  <c r="H129" i="5"/>
  <c r="H130" i="5"/>
  <c r="H131" i="5"/>
  <c r="H132" i="5"/>
  <c r="H133" i="5"/>
  <c r="H134" i="5"/>
  <c r="H135" i="5"/>
  <c r="H136" i="5"/>
  <c r="H137" i="5"/>
  <c r="H138" i="5"/>
  <c r="H139" i="5"/>
  <c r="H140" i="5"/>
  <c r="H141" i="5"/>
  <c r="H142" i="5"/>
  <c r="H143" i="5"/>
  <c r="H144" i="5"/>
  <c r="H145" i="5"/>
  <c r="H146" i="5"/>
  <c r="H147" i="5"/>
  <c r="H148" i="5"/>
  <c r="H149" i="5"/>
  <c r="H150" i="5"/>
  <c r="H151" i="5"/>
  <c r="H152" i="5"/>
  <c r="H153" i="5"/>
  <c r="H154" i="5"/>
  <c r="H155" i="5"/>
  <c r="H156" i="5"/>
  <c r="H157" i="5"/>
  <c r="H158" i="5"/>
  <c r="H159" i="5"/>
  <c r="H160" i="5"/>
  <c r="H161" i="5"/>
  <c r="H162" i="5"/>
  <c r="H163" i="5"/>
  <c r="H164" i="5"/>
  <c r="H165" i="5"/>
  <c r="H166" i="5"/>
  <c r="H167" i="5"/>
  <c r="H168" i="5"/>
  <c r="H169" i="5"/>
  <c r="H170" i="5"/>
  <c r="H171" i="5"/>
  <c r="H172" i="5"/>
  <c r="H173" i="5"/>
  <c r="H174" i="5"/>
  <c r="H175" i="5"/>
  <c r="H176" i="5"/>
  <c r="H177" i="5"/>
  <c r="H178" i="5"/>
  <c r="H179" i="5"/>
  <c r="H180" i="5"/>
  <c r="H181" i="5"/>
  <c r="H182" i="5"/>
  <c r="H183" i="5"/>
  <c r="H184" i="5"/>
  <c r="H185" i="5"/>
  <c r="H186" i="5"/>
  <c r="H187" i="5"/>
  <c r="H188" i="5"/>
  <c r="H189" i="5"/>
  <c r="H190" i="5"/>
  <c r="H191" i="5"/>
  <c r="H192" i="5"/>
  <c r="H193" i="5"/>
  <c r="H194" i="5"/>
  <c r="H195" i="5"/>
  <c r="H196" i="5"/>
  <c r="H197" i="5"/>
  <c r="H198" i="5"/>
  <c r="H199" i="5"/>
  <c r="H200" i="5"/>
  <c r="H201" i="5"/>
  <c r="H202" i="5"/>
  <c r="H203" i="5"/>
  <c r="H204" i="5"/>
  <c r="H205" i="5"/>
  <c r="H206" i="5"/>
  <c r="H207" i="5"/>
  <c r="H208" i="5"/>
  <c r="H209" i="5"/>
  <c r="H210" i="5"/>
  <c r="H211" i="5"/>
  <c r="H212" i="5"/>
  <c r="H213" i="5"/>
  <c r="H214" i="5"/>
  <c r="H215" i="5"/>
  <c r="H216" i="5"/>
  <c r="H217" i="5"/>
  <c r="H218" i="5"/>
  <c r="H219" i="5"/>
  <c r="H220" i="5"/>
  <c r="H221" i="5"/>
  <c r="H222" i="5"/>
  <c r="H223" i="5"/>
  <c r="H224" i="5"/>
  <c r="H225" i="5"/>
  <c r="H226" i="5"/>
  <c r="H227" i="5"/>
  <c r="H228" i="5"/>
  <c r="H229" i="5"/>
  <c r="H230" i="5"/>
  <c r="H231" i="5"/>
  <c r="H232" i="5"/>
  <c r="H233" i="5"/>
  <c r="H234" i="5"/>
  <c r="H235" i="5"/>
  <c r="H236" i="5"/>
  <c r="H237" i="5"/>
  <c r="H238" i="5"/>
  <c r="H239" i="5"/>
  <c r="H240" i="5"/>
  <c r="H241" i="5"/>
  <c r="H242" i="5"/>
  <c r="H243" i="5"/>
  <c r="H244" i="5"/>
  <c r="H245" i="5"/>
  <c r="H246" i="5"/>
  <c r="H247" i="5"/>
  <c r="H248" i="5"/>
  <c r="H249" i="5"/>
  <c r="H250" i="5"/>
  <c r="H251" i="5"/>
  <c r="H252" i="5"/>
  <c r="H4" i="5"/>
  <c r="H5" i="5"/>
  <c r="H6" i="5"/>
  <c r="H7" i="5"/>
  <c r="H8" i="5"/>
  <c r="H9" i="5"/>
  <c r="H10" i="5"/>
  <c r="H11" i="5"/>
  <c r="H12" i="5"/>
  <c r="H13" i="5"/>
  <c r="H14" i="5"/>
  <c r="H15" i="5"/>
  <c r="H16" i="5"/>
  <c r="H17" i="5"/>
  <c r="H18" i="5"/>
  <c r="H19" i="5"/>
  <c r="H3" i="5"/>
  <c r="I16" i="5" l="1"/>
  <c r="H10" i="2" l="1"/>
  <c r="F10" i="2"/>
  <c r="F12" i="2" s="1"/>
  <c r="C12" i="1"/>
  <c r="G12" i="1" s="1"/>
  <c r="C13" i="1" l="1"/>
  <c r="G13" i="1" s="1"/>
  <c r="G15" i="1"/>
  <c r="C15" i="1"/>
  <c r="L12" i="2"/>
  <c r="L13" i="2" s="1"/>
  <c r="L6" i="2"/>
  <c r="L7" i="2" s="1"/>
  <c r="G14" i="2" l="1"/>
  <c r="G16" i="1"/>
  <c r="C19" i="1" s="1"/>
  <c r="C16" i="1"/>
  <c r="C18" i="1" s="1"/>
  <c r="H6" i="6"/>
  <c r="H8" i="6" l="1"/>
  <c r="H7" i="6"/>
  <c r="H9" i="6" s="1"/>
  <c r="L4" i="6" l="1"/>
  <c r="L5" i="6" s="1"/>
  <c r="G27" i="2"/>
</calcChain>
</file>

<file path=xl/sharedStrings.xml><?xml version="1.0" encoding="utf-8"?>
<sst xmlns="http://schemas.openxmlformats.org/spreadsheetml/2006/main" count="142" uniqueCount="106">
  <si>
    <t>S</t>
  </si>
  <si>
    <t>k</t>
  </si>
  <si>
    <t>T</t>
  </si>
  <si>
    <t>sigma</t>
  </si>
  <si>
    <t>r</t>
  </si>
  <si>
    <t>d1</t>
  </si>
  <si>
    <t>d2</t>
  </si>
  <si>
    <t>N(d1)</t>
  </si>
  <si>
    <t>N(d2)</t>
  </si>
  <si>
    <t>N(-d1)</t>
  </si>
  <si>
    <t>N(-d2)</t>
  </si>
  <si>
    <t>Black-Scholes model Excel</t>
  </si>
  <si>
    <t>t</t>
  </si>
  <si>
    <t>K</t>
  </si>
  <si>
    <t>d</t>
  </si>
  <si>
    <t>Pu</t>
  </si>
  <si>
    <t>Pd</t>
  </si>
  <si>
    <t>u</t>
  </si>
  <si>
    <t>payoff</t>
  </si>
  <si>
    <t>call option value</t>
  </si>
  <si>
    <t>Call option price</t>
  </si>
  <si>
    <t>Put option price</t>
  </si>
  <si>
    <t>Volume</t>
  </si>
  <si>
    <t>Adj Close</t>
  </si>
  <si>
    <t>Close</t>
  </si>
  <si>
    <t>Low</t>
  </si>
  <si>
    <t>High</t>
  </si>
  <si>
    <t>Open</t>
  </si>
  <si>
    <t>Date</t>
  </si>
  <si>
    <t>Current stock price</t>
  </si>
  <si>
    <t>Exercise price</t>
  </si>
  <si>
    <t>Risk free rate</t>
  </si>
  <si>
    <t>Volatility</t>
  </si>
  <si>
    <t>Time to expiry</t>
  </si>
  <si>
    <t>The trader will introduce in the specified cells the model parameters as following</t>
  </si>
  <si>
    <t xml:space="preserve"> - d2</t>
  </si>
  <si>
    <t xml:space="preserve"> - d1</t>
  </si>
  <si>
    <t>Notation</t>
  </si>
  <si>
    <t>Description</t>
  </si>
  <si>
    <t>C</t>
  </si>
  <si>
    <t>P</t>
  </si>
  <si>
    <t>d1 parameter</t>
  </si>
  <si>
    <t>d2 parameter</t>
  </si>
  <si>
    <t xml:space="preserve">        Quantity</t>
  </si>
  <si>
    <t xml:space="preserve">     Quantity</t>
  </si>
  <si>
    <t xml:space="preserve"> - d1 parameter</t>
  </si>
  <si>
    <t xml:space="preserve"> - d2 parameter</t>
  </si>
  <si>
    <t>Normal Dist(d1)</t>
  </si>
  <si>
    <t>Normal Dist(d2)</t>
  </si>
  <si>
    <t>Normal Dist(-d1)</t>
  </si>
  <si>
    <t>Normal Dist(-d2)</t>
  </si>
  <si>
    <t>px Change</t>
  </si>
  <si>
    <t>Change</t>
  </si>
  <si>
    <t>Gain</t>
  </si>
  <si>
    <t>Loss</t>
  </si>
  <si>
    <t>Av Gain</t>
  </si>
  <si>
    <t>Av Loss</t>
  </si>
  <si>
    <t>RS</t>
  </si>
  <si>
    <t>RSI</t>
  </si>
  <si>
    <t>True Range</t>
  </si>
  <si>
    <t>Average True Range</t>
  </si>
  <si>
    <t>12 Day EMA</t>
  </si>
  <si>
    <t>26 Day EMA</t>
  </si>
  <si>
    <t>MACD</t>
  </si>
  <si>
    <t>Signal</t>
  </si>
  <si>
    <t>Histogram</t>
  </si>
  <si>
    <t>Input Data</t>
  </si>
  <si>
    <t>Output Data</t>
  </si>
  <si>
    <r>
      <t>s</t>
    </r>
    <r>
      <rPr>
        <sz val="10"/>
        <rFont val="Arial"/>
        <family val="2"/>
      </rPr>
      <t>*t^.5</t>
    </r>
  </si>
  <si>
    <r>
      <t xml:space="preserve">Delta </t>
    </r>
    <r>
      <rPr>
        <sz val="8"/>
        <rFont val="Arial"/>
        <family val="2"/>
      </rPr>
      <t xml:space="preserve">N(d1) </t>
    </r>
  </si>
  <si>
    <t>Stock Price</t>
  </si>
  <si>
    <t>Exercise Price</t>
  </si>
  <si>
    <t>TTM</t>
  </si>
  <si>
    <t>RF</t>
  </si>
  <si>
    <t>STD</t>
  </si>
  <si>
    <t>PV(EX)</t>
  </si>
  <si>
    <r>
      <t xml:space="preserve">Delta </t>
    </r>
    <r>
      <rPr>
        <sz val="8"/>
        <rFont val="Arial"/>
        <family val="2"/>
      </rPr>
      <t xml:space="preserve">N(d2) </t>
    </r>
  </si>
  <si>
    <t>Results</t>
  </si>
  <si>
    <t>Call</t>
  </si>
  <si>
    <t>Put</t>
  </si>
  <si>
    <t>Option Price</t>
  </si>
  <si>
    <t>Strike Price</t>
  </si>
  <si>
    <t>Delta</t>
  </si>
  <si>
    <t>Time To Expiry</t>
  </si>
  <si>
    <t>Theta</t>
  </si>
  <si>
    <t>Risk Free Rate</t>
  </si>
  <si>
    <t>Vega</t>
  </si>
  <si>
    <t>Dividend Yield</t>
  </si>
  <si>
    <t>Rho</t>
  </si>
  <si>
    <t>Input</t>
  </si>
  <si>
    <t>Parameter</t>
  </si>
  <si>
    <t>put option value</t>
  </si>
  <si>
    <t>n</t>
  </si>
  <si>
    <t>Option type</t>
  </si>
  <si>
    <t>(call=1, put=2)</t>
  </si>
  <si>
    <t>Strike K</t>
  </si>
  <si>
    <t>Spot price</t>
  </si>
  <si>
    <t>Time</t>
  </si>
  <si>
    <t>Output</t>
  </si>
  <si>
    <t>Option price</t>
  </si>
  <si>
    <t>number of step</t>
  </si>
  <si>
    <t>risk free rate</t>
  </si>
  <si>
    <t xml:space="preserve">up factor </t>
  </si>
  <si>
    <t>down factor</t>
  </si>
  <si>
    <t>Quantity</t>
  </si>
  <si>
    <t>Binomial Option Pricing VBA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</si>
</sst>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(&quot;$&quot;* #,##0.00_);_(&quot;$&quot;* \(#,##0.00\);_(&quot;$&quot;* &quot;-&quot;??_);_(@_)"/>
    <numFmt numFmtId="164" formatCode="0.0000000"/>
    <numFmt numFmtId="165" formatCode="0.0000"/>
    <numFmt numFmtId="168" formatCode="#,##0.0000"/>
  </numFmts>
  <fonts count="2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0070C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sz val="1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i/>
      <sz val="10"/>
      <name val="Arial"/>
      <family val="2"/>
    </font>
    <font>
      <sz val="10"/>
      <name val="Symbol"/>
      <family val="1"/>
      <charset val="2"/>
    </font>
    <font>
      <b/>
      <i/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1"/>
      <name val="Calibri"/>
      <family val="2"/>
      <scheme val="minor"/>
    </font>
    <font>
      <b/>
      <sz val="10"/>
      <name val="Arial"/>
      <family val="2"/>
    </font>
    <font>
      <b/>
      <sz val="12"/>
      <color rgb="FF00000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</fills>
  <borders count="22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7">
    <xf numFmtId="0" fontId="0" fillId="0" borderId="0"/>
    <xf numFmtId="0" fontId="8" fillId="0" borderId="0"/>
    <xf numFmtId="0" fontId="11" fillId="0" borderId="0"/>
    <xf numFmtId="0" fontId="3" fillId="0" borderId="0"/>
    <xf numFmtId="0" fontId="8" fillId="0" borderId="0"/>
    <xf numFmtId="44" fontId="11" fillId="0" borderId="0" applyFont="0" applyFill="0" applyBorder="0" applyAlignment="0" applyProtection="0"/>
    <xf numFmtId="9" fontId="11" fillId="0" borderId="0" applyFont="0" applyFill="0" applyBorder="0" applyAlignment="0" applyProtection="0"/>
  </cellStyleXfs>
  <cellXfs count="95">
    <xf numFmtId="0" fontId="0" fillId="0" borderId="0" xfId="0"/>
    <xf numFmtId="0" fontId="2" fillId="0" borderId="0" xfId="0" applyFont="1"/>
    <xf numFmtId="165" fontId="0" fillId="0" borderId="0" xfId="0" applyNumberFormat="1"/>
    <xf numFmtId="0" fontId="0" fillId="0" borderId="2" xfId="0" applyBorder="1"/>
    <xf numFmtId="0" fontId="4" fillId="2" borderId="2" xfId="0" applyFont="1" applyFill="1" applyBorder="1"/>
    <xf numFmtId="0" fontId="6" fillId="2" borderId="2" xfId="0" applyFont="1" applyFill="1" applyBorder="1"/>
    <xf numFmtId="0" fontId="0" fillId="2" borderId="2" xfId="0" applyFont="1" applyFill="1" applyBorder="1"/>
    <xf numFmtId="0" fontId="0" fillId="0" borderId="0" xfId="0" applyFont="1"/>
    <xf numFmtId="0" fontId="1" fillId="2" borderId="2" xfId="0" applyFont="1" applyFill="1" applyBorder="1"/>
    <xf numFmtId="0" fontId="7" fillId="2" borderId="2" xfId="0" applyFont="1" applyFill="1" applyBorder="1"/>
    <xf numFmtId="0" fontId="5" fillId="2" borderId="2" xfId="0" applyFont="1" applyFill="1" applyBorder="1"/>
    <xf numFmtId="164" fontId="4" fillId="2" borderId="2" xfId="0" applyNumberFormat="1" applyFont="1" applyFill="1" applyBorder="1"/>
    <xf numFmtId="0" fontId="0" fillId="2" borderId="2" xfId="0" applyFill="1" applyBorder="1"/>
    <xf numFmtId="164" fontId="5" fillId="2" borderId="2" xfId="0" applyNumberFormat="1" applyFont="1" applyFill="1" applyBorder="1"/>
    <xf numFmtId="165" fontId="5" fillId="2" borderId="2" xfId="0" applyNumberFormat="1" applyFont="1" applyFill="1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10" fontId="8" fillId="0" borderId="0" xfId="1" applyNumberFormat="1" applyAlignment="1">
      <alignment wrapText="1"/>
    </xf>
    <xf numFmtId="0" fontId="8" fillId="0" borderId="0" xfId="1"/>
    <xf numFmtId="10" fontId="8" fillId="0" borderId="0" xfId="1" applyNumberFormat="1"/>
    <xf numFmtId="10" fontId="5" fillId="2" borderId="2" xfId="0" applyNumberFormat="1" applyFont="1" applyFill="1" applyBorder="1"/>
    <xf numFmtId="0" fontId="8" fillId="0" borderId="0" xfId="1"/>
    <xf numFmtId="10" fontId="8" fillId="0" borderId="0" xfId="1" applyNumberFormat="1"/>
    <xf numFmtId="0" fontId="8" fillId="0" borderId="0" xfId="1"/>
    <xf numFmtId="14" fontId="8" fillId="0" borderId="0" xfId="1" applyNumberFormat="1"/>
    <xf numFmtId="10" fontId="8" fillId="0" borderId="0" xfId="1" applyNumberFormat="1"/>
    <xf numFmtId="0" fontId="11" fillId="2" borderId="0" xfId="2" applyFill="1" applyBorder="1"/>
    <xf numFmtId="0" fontId="11" fillId="2" borderId="14" xfId="2" applyFill="1" applyBorder="1"/>
    <xf numFmtId="10" fontId="11" fillId="2" borderId="14" xfId="2" applyNumberFormat="1" applyFill="1" applyBorder="1"/>
    <xf numFmtId="0" fontId="11" fillId="2" borderId="13" xfId="2" applyFill="1" applyBorder="1"/>
    <xf numFmtId="10" fontId="11" fillId="2" borderId="15" xfId="2" applyNumberFormat="1" applyFill="1" applyBorder="1"/>
    <xf numFmtId="0" fontId="11" fillId="2" borderId="3" xfId="2" applyFill="1" applyBorder="1"/>
    <xf numFmtId="0" fontId="0" fillId="2" borderId="0" xfId="0" applyFill="1" applyBorder="1"/>
    <xf numFmtId="165" fontId="11" fillId="2" borderId="4" xfId="2" applyNumberFormat="1" applyFill="1" applyBorder="1"/>
    <xf numFmtId="0" fontId="14" fillId="2" borderId="3" xfId="2" applyFont="1" applyFill="1" applyBorder="1"/>
    <xf numFmtId="0" fontId="0" fillId="2" borderId="1" xfId="0" applyFill="1" applyBorder="1"/>
    <xf numFmtId="0" fontId="8" fillId="2" borderId="3" xfId="2" applyFont="1" applyFill="1" applyBorder="1"/>
    <xf numFmtId="0" fontId="8" fillId="2" borderId="11" xfId="2" applyFont="1" applyFill="1" applyBorder="1"/>
    <xf numFmtId="0" fontId="8" fillId="2" borderId="12" xfId="2" applyFont="1" applyFill="1" applyBorder="1"/>
    <xf numFmtId="0" fontId="13" fillId="3" borderId="7" xfId="2" applyFont="1" applyFill="1" applyBorder="1"/>
    <xf numFmtId="0" fontId="11" fillId="3" borderId="9" xfId="2" applyFill="1" applyBorder="1"/>
    <xf numFmtId="0" fontId="0" fillId="3" borderId="9" xfId="0" applyFill="1" applyBorder="1"/>
    <xf numFmtId="0" fontId="11" fillId="3" borderId="10" xfId="2" applyFill="1" applyBorder="1"/>
    <xf numFmtId="0" fontId="12" fillId="3" borderId="9" xfId="2" applyFont="1" applyFill="1" applyBorder="1"/>
    <xf numFmtId="0" fontId="12" fillId="3" borderId="10" xfId="2" applyFont="1" applyFill="1" applyBorder="1"/>
    <xf numFmtId="0" fontId="7" fillId="2" borderId="8" xfId="0" applyFont="1" applyFill="1" applyBorder="1"/>
    <xf numFmtId="0" fontId="17" fillId="2" borderId="0" xfId="2" applyFont="1" applyFill="1" applyBorder="1"/>
    <xf numFmtId="165" fontId="17" fillId="2" borderId="14" xfId="2" applyNumberFormat="1" applyFont="1" applyFill="1" applyBorder="1"/>
    <xf numFmtId="0" fontId="15" fillId="3" borderId="7" xfId="2" applyFont="1" applyFill="1" applyBorder="1"/>
    <xf numFmtId="0" fontId="16" fillId="3" borderId="9" xfId="2" applyFont="1" applyFill="1" applyBorder="1"/>
    <xf numFmtId="0" fontId="16" fillId="3" borderId="10" xfId="2" applyFont="1" applyFill="1" applyBorder="1"/>
    <xf numFmtId="0" fontId="8" fillId="2" borderId="5" xfId="2" applyFont="1" applyFill="1" applyBorder="1"/>
    <xf numFmtId="0" fontId="0" fillId="2" borderId="6" xfId="0" applyFill="1" applyBorder="1"/>
    <xf numFmtId="4" fontId="10" fillId="0" borderId="0" xfId="1" applyNumberFormat="1" applyFont="1" applyFill="1" applyBorder="1"/>
    <xf numFmtId="0" fontId="8" fillId="0" borderId="0" xfId="1"/>
    <xf numFmtId="0" fontId="10" fillId="0" borderId="0" xfId="1" applyFont="1" applyFill="1" applyBorder="1"/>
    <xf numFmtId="0" fontId="10" fillId="2" borderId="2" xfId="1" applyFont="1" applyFill="1" applyBorder="1" applyAlignment="1"/>
    <xf numFmtId="0" fontId="8" fillId="2" borderId="2" xfId="1" applyFill="1" applyBorder="1"/>
    <xf numFmtId="0" fontId="10" fillId="2" borderId="2" xfId="1" applyNumberFormat="1" applyFont="1" applyFill="1" applyBorder="1"/>
    <xf numFmtId="10" fontId="8" fillId="2" borderId="2" xfId="1" applyNumberFormat="1" applyFill="1" applyBorder="1"/>
    <xf numFmtId="10" fontId="10" fillId="2" borderId="2" xfId="1" applyNumberFormat="1" applyFont="1" applyFill="1" applyBorder="1"/>
    <xf numFmtId="168" fontId="10" fillId="2" borderId="2" xfId="1" applyNumberFormat="1" applyFont="1" applyFill="1" applyBorder="1"/>
    <xf numFmtId="0" fontId="18" fillId="3" borderId="2" xfId="1" applyFont="1" applyFill="1" applyBorder="1"/>
    <xf numFmtId="0" fontId="10" fillId="3" borderId="2" xfId="1" applyFont="1" applyFill="1" applyBorder="1"/>
    <xf numFmtId="0" fontId="18" fillId="3" borderId="2" xfId="1" applyFont="1" applyFill="1" applyBorder="1" applyAlignment="1"/>
    <xf numFmtId="0" fontId="10" fillId="3" borderId="2" xfId="1" applyFont="1" applyFill="1" applyBorder="1" applyAlignment="1">
      <alignment horizontal="center"/>
    </xf>
    <xf numFmtId="0" fontId="17" fillId="2" borderId="1" xfId="2" applyFont="1" applyFill="1" applyBorder="1"/>
    <xf numFmtId="165" fontId="17" fillId="2" borderId="16" xfId="2" applyNumberFormat="1" applyFont="1" applyFill="1" applyBorder="1"/>
    <xf numFmtId="0" fontId="19" fillId="0" borderId="0" xfId="0" applyFont="1"/>
    <xf numFmtId="0" fontId="0" fillId="2" borderId="3" xfId="0" applyFill="1" applyBorder="1"/>
    <xf numFmtId="0" fontId="0" fillId="2" borderId="4" xfId="0" applyFill="1" applyBorder="1"/>
    <xf numFmtId="2" fontId="0" fillId="2" borderId="4" xfId="0" applyNumberFormat="1" applyFill="1" applyBorder="1"/>
    <xf numFmtId="0" fontId="0" fillId="2" borderId="5" xfId="0" applyFill="1" applyBorder="1"/>
    <xf numFmtId="0" fontId="0" fillId="2" borderId="19" xfId="0" applyFill="1" applyBorder="1"/>
    <xf numFmtId="0" fontId="0" fillId="2" borderId="21" xfId="0" applyFill="1" applyBorder="1"/>
    <xf numFmtId="0" fontId="19" fillId="2" borderId="21" xfId="0" applyFont="1" applyFill="1" applyBorder="1"/>
    <xf numFmtId="0" fontId="19" fillId="2" borderId="8" xfId="0" applyFont="1" applyFill="1" applyBorder="1"/>
    <xf numFmtId="0" fontId="0" fillId="2" borderId="8" xfId="0" applyFill="1" applyBorder="1"/>
    <xf numFmtId="0" fontId="0" fillId="2" borderId="17" xfId="0" applyFill="1" applyBorder="1"/>
    <xf numFmtId="165" fontId="0" fillId="2" borderId="3" xfId="0" applyNumberFormat="1" applyFill="1" applyBorder="1"/>
    <xf numFmtId="2" fontId="0" fillId="2" borderId="6" xfId="0" applyNumberFormat="1" applyFill="1" applyBorder="1" applyAlignment="1">
      <alignment horizontal="center"/>
    </xf>
    <xf numFmtId="2" fontId="0" fillId="2" borderId="10" xfId="0" applyNumberFormat="1" applyFill="1" applyBorder="1" applyAlignment="1">
      <alignment horizontal="center"/>
    </xf>
    <xf numFmtId="0" fontId="1" fillId="2" borderId="7" xfId="0" applyFont="1" applyFill="1" applyBorder="1"/>
    <xf numFmtId="0" fontId="0" fillId="2" borderId="9" xfId="0" applyFill="1" applyBorder="1"/>
    <xf numFmtId="0" fontId="0" fillId="2" borderId="18" xfId="0" applyFill="1" applyBorder="1"/>
    <xf numFmtId="0" fontId="19" fillId="4" borderId="20" xfId="0" applyFont="1" applyFill="1" applyBorder="1"/>
    <xf numFmtId="0" fontId="1" fillId="4" borderId="18" xfId="0" applyFont="1" applyFill="1" applyBorder="1"/>
    <xf numFmtId="0" fontId="0" fillId="4" borderId="19" xfId="0" applyFill="1" applyBorder="1"/>
    <xf numFmtId="0" fontId="19" fillId="4" borderId="7" xfId="0" applyFont="1" applyFill="1" applyBorder="1"/>
    <xf numFmtId="0" fontId="0" fillId="4" borderId="18" xfId="0" applyFill="1" applyBorder="1"/>
    <xf numFmtId="0" fontId="0" fillId="4" borderId="9" xfId="0" applyFill="1" applyBorder="1"/>
    <xf numFmtId="0" fontId="0" fillId="4" borderId="10" xfId="0" applyFill="1" applyBorder="1"/>
    <xf numFmtId="0" fontId="1" fillId="4" borderId="9" xfId="0" applyFont="1" applyFill="1" applyBorder="1"/>
  </cellXfs>
  <cellStyles count="7">
    <cellStyle name="Currency 2" xfId="5" xr:uid="{00000000-0005-0000-0000-000000000000}"/>
    <cellStyle name="Normal" xfId="0" builtinId="0"/>
    <cellStyle name="Normal 2" xfId="1" xr:uid="{00000000-0005-0000-0000-000003000000}"/>
    <cellStyle name="Normal 3" xfId="2" xr:uid="{00000000-0005-0000-0000-000004000000}"/>
    <cellStyle name="Normal 3 2" xfId="4" xr:uid="{00000000-0005-0000-0000-000005000000}"/>
    <cellStyle name="Normal 4" xfId="3" xr:uid="{00000000-0005-0000-0000-000006000000}"/>
    <cellStyle name="Percent 2" xfId="6" xr:uid="{00000000-0005-0000-0000-000007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15</xdr:row>
          <xdr:rowOff>25400</xdr:rowOff>
        </xdr:from>
        <xdr:to>
          <xdr:col>2</xdr:col>
          <xdr:colOff>361950</xdr:colOff>
          <xdr:row>18</xdr:row>
          <xdr:rowOff>38100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4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Compute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W269"/>
  <sheetViews>
    <sheetView topLeftCell="A241" zoomScale="70" zoomScaleNormal="70" workbookViewId="0">
      <selection activeCell="U22" sqref="U22"/>
    </sheetView>
  </sheetViews>
  <sheetFormatPr defaultRowHeight="14.5" x14ac:dyDescent="0.35"/>
  <cols>
    <col min="1" max="1" width="12.81640625" customWidth="1"/>
    <col min="6" max="6" width="12.26953125" customWidth="1"/>
    <col min="8" max="8" width="10.81640625" customWidth="1"/>
    <col min="9" max="9" width="12.1796875" customWidth="1"/>
  </cols>
  <sheetData>
    <row r="1" spans="1:23" x14ac:dyDescent="0.35">
      <c r="A1" s="25" t="s">
        <v>28</v>
      </c>
      <c r="B1" s="25" t="s">
        <v>27</v>
      </c>
      <c r="C1" s="25" t="s">
        <v>26</v>
      </c>
      <c r="D1" s="25" t="s">
        <v>25</v>
      </c>
      <c r="E1" s="25" t="s">
        <v>24</v>
      </c>
      <c r="F1" s="25" t="s">
        <v>22</v>
      </c>
      <c r="G1" s="25" t="s">
        <v>23</v>
      </c>
      <c r="H1" s="23" t="s">
        <v>51</v>
      </c>
      <c r="I1" s="20" t="s">
        <v>32</v>
      </c>
      <c r="J1" s="20" t="s">
        <v>52</v>
      </c>
      <c r="K1" s="20" t="s">
        <v>53</v>
      </c>
      <c r="L1" s="20" t="s">
        <v>54</v>
      </c>
      <c r="M1" s="20" t="s">
        <v>55</v>
      </c>
      <c r="N1" s="20" t="s">
        <v>56</v>
      </c>
      <c r="O1" s="20" t="s">
        <v>57</v>
      </c>
      <c r="P1" s="20" t="s">
        <v>58</v>
      </c>
      <c r="Q1" s="20" t="s">
        <v>59</v>
      </c>
      <c r="R1" s="20" t="s">
        <v>60</v>
      </c>
      <c r="S1" s="20" t="s">
        <v>61</v>
      </c>
      <c r="T1" s="20" t="s">
        <v>62</v>
      </c>
      <c r="U1" s="20" t="s">
        <v>63</v>
      </c>
      <c r="V1" s="20" t="s">
        <v>64</v>
      </c>
      <c r="W1" s="20" t="s">
        <v>65</v>
      </c>
    </row>
    <row r="2" spans="1:23" x14ac:dyDescent="0.35">
      <c r="A2" s="26">
        <v>42709</v>
      </c>
      <c r="B2" s="25">
        <v>59.700001</v>
      </c>
      <c r="C2" s="25">
        <v>60.59</v>
      </c>
      <c r="D2" s="25">
        <v>59.560001</v>
      </c>
      <c r="E2" s="25">
        <v>60.220001000000003</v>
      </c>
      <c r="F2" s="25">
        <v>23552700</v>
      </c>
      <c r="G2" s="25">
        <v>58.904738999999999</v>
      </c>
      <c r="H2" s="24"/>
      <c r="I2" s="20"/>
      <c r="J2" s="20"/>
      <c r="K2" s="20"/>
      <c r="L2" s="20"/>
      <c r="M2" s="20"/>
      <c r="N2" s="20"/>
      <c r="O2" s="20"/>
      <c r="P2" s="20"/>
      <c r="Q2" s="20">
        <f>ABS(C2-D2)</f>
        <v>1.0299990000000037</v>
      </c>
      <c r="R2" s="20"/>
      <c r="S2" s="20"/>
      <c r="T2" s="20"/>
      <c r="U2" s="20"/>
      <c r="V2" s="20"/>
      <c r="W2" s="20"/>
    </row>
    <row r="3" spans="1:23" x14ac:dyDescent="0.35">
      <c r="A3" s="26">
        <v>42710</v>
      </c>
      <c r="B3" s="25">
        <v>60.43</v>
      </c>
      <c r="C3" s="25">
        <v>60.459999000000003</v>
      </c>
      <c r="D3" s="25">
        <v>59.799999</v>
      </c>
      <c r="E3" s="25">
        <v>59.950001</v>
      </c>
      <c r="F3" s="25">
        <v>19907000</v>
      </c>
      <c r="G3" s="25">
        <v>58.640636000000001</v>
      </c>
      <c r="H3" s="19">
        <f>LN(G3/G2)</f>
        <v>-4.4936424664138381E-3</v>
      </c>
      <c r="I3" s="20"/>
      <c r="J3" s="20">
        <f>E3-E2</f>
        <v>-0.27000000000000313</v>
      </c>
      <c r="K3" s="20">
        <f>IF(J3&gt;0,J3,0)</f>
        <v>0</v>
      </c>
      <c r="L3" s="20">
        <f>IF(J3&lt;0,ABS(J3),0)</f>
        <v>0.27000000000000313</v>
      </c>
      <c r="M3" s="20"/>
      <c r="N3" s="20"/>
      <c r="O3" s="20"/>
      <c r="P3" s="20"/>
      <c r="Q3" s="25">
        <f t="shared" ref="Q3:Q66" si="0">ABS(C3-D3)</f>
        <v>0.66000000000000369</v>
      </c>
      <c r="R3" s="20"/>
      <c r="S3" s="20"/>
      <c r="T3" s="20"/>
      <c r="U3" s="20"/>
      <c r="V3" s="20"/>
      <c r="W3" s="20"/>
    </row>
    <row r="4" spans="1:23" x14ac:dyDescent="0.35">
      <c r="A4" s="26">
        <v>42711</v>
      </c>
      <c r="B4" s="25">
        <v>60.009998000000003</v>
      </c>
      <c r="C4" s="25">
        <v>61.380001</v>
      </c>
      <c r="D4" s="25">
        <v>59.799999</v>
      </c>
      <c r="E4" s="25">
        <v>61.369999</v>
      </c>
      <c r="F4" s="25">
        <v>30809000</v>
      </c>
      <c r="G4" s="25">
        <v>60.029620999999999</v>
      </c>
      <c r="H4" s="19">
        <f t="shared" ref="H4:H67" si="1">LN(G4/G3)</f>
        <v>2.3410220375311538E-2</v>
      </c>
      <c r="I4" s="20"/>
      <c r="J4" s="25">
        <f t="shared" ref="J4:J67" si="2">E4-E3</f>
        <v>1.4199979999999996</v>
      </c>
      <c r="K4" s="25">
        <f t="shared" ref="K4:K67" si="3">IF(J4&gt;0,J4,0)</f>
        <v>1.4199979999999996</v>
      </c>
      <c r="L4" s="25">
        <f t="shared" ref="L4:L67" si="4">IF(J4&lt;0,ABS(J4),0)</f>
        <v>0</v>
      </c>
      <c r="M4" s="20"/>
      <c r="N4" s="20"/>
      <c r="O4" s="20"/>
      <c r="P4" s="20"/>
      <c r="Q4" s="25">
        <f t="shared" si="0"/>
        <v>1.5800020000000004</v>
      </c>
      <c r="R4" s="20"/>
      <c r="S4" s="20"/>
      <c r="T4" s="20"/>
      <c r="U4" s="20"/>
      <c r="V4" s="20"/>
      <c r="W4" s="20"/>
    </row>
    <row r="5" spans="1:23" x14ac:dyDescent="0.35">
      <c r="A5" s="26">
        <v>42712</v>
      </c>
      <c r="B5" s="25">
        <v>61.299999</v>
      </c>
      <c r="C5" s="25">
        <v>61.580002</v>
      </c>
      <c r="D5" s="25">
        <v>60.84</v>
      </c>
      <c r="E5" s="25">
        <v>61.009998000000003</v>
      </c>
      <c r="F5" s="25">
        <v>21220800</v>
      </c>
      <c r="G5" s="25">
        <v>59.677478999999998</v>
      </c>
      <c r="H5" s="19">
        <f t="shared" si="1"/>
        <v>-5.8834106877255323E-3</v>
      </c>
      <c r="I5" s="20"/>
      <c r="J5" s="25">
        <f t="shared" si="2"/>
        <v>-0.36000099999999691</v>
      </c>
      <c r="K5" s="25">
        <f t="shared" si="3"/>
        <v>0</v>
      </c>
      <c r="L5" s="25">
        <f t="shared" si="4"/>
        <v>0.36000099999999691</v>
      </c>
      <c r="M5" s="20"/>
      <c r="N5" s="20"/>
      <c r="O5" s="20"/>
      <c r="P5" s="20"/>
      <c r="Q5" s="25">
        <f t="shared" si="0"/>
        <v>0.74000199999999694</v>
      </c>
      <c r="R5" s="20"/>
      <c r="S5" s="20"/>
      <c r="T5" s="20"/>
      <c r="U5" s="20"/>
      <c r="V5" s="20"/>
      <c r="W5" s="20"/>
    </row>
    <row r="6" spans="1:23" x14ac:dyDescent="0.35">
      <c r="A6" s="26">
        <v>42713</v>
      </c>
      <c r="B6" s="25">
        <v>61.18</v>
      </c>
      <c r="C6" s="25">
        <v>61.990001999999997</v>
      </c>
      <c r="D6" s="25">
        <v>61.130001</v>
      </c>
      <c r="E6" s="25">
        <v>61.970001000000003</v>
      </c>
      <c r="F6" s="25">
        <v>27349400</v>
      </c>
      <c r="G6" s="25">
        <v>60.616515999999997</v>
      </c>
      <c r="H6" s="19">
        <f t="shared" si="1"/>
        <v>1.5612684150589022E-2</v>
      </c>
      <c r="I6" s="20"/>
      <c r="J6" s="25">
        <f t="shared" si="2"/>
        <v>0.96000300000000038</v>
      </c>
      <c r="K6" s="25">
        <f t="shared" si="3"/>
        <v>0.96000300000000038</v>
      </c>
      <c r="L6" s="25">
        <f t="shared" si="4"/>
        <v>0</v>
      </c>
      <c r="M6" s="20"/>
      <c r="N6" s="20"/>
      <c r="O6" s="20"/>
      <c r="P6" s="20"/>
      <c r="Q6" s="25">
        <f t="shared" si="0"/>
        <v>0.86000099999999691</v>
      </c>
      <c r="R6" s="20"/>
      <c r="S6" s="20"/>
      <c r="T6" s="20"/>
      <c r="U6" s="20"/>
      <c r="V6" s="20"/>
      <c r="W6" s="20"/>
    </row>
    <row r="7" spans="1:23" x14ac:dyDescent="0.35">
      <c r="A7" s="26">
        <v>42716</v>
      </c>
      <c r="B7" s="25">
        <v>61.82</v>
      </c>
      <c r="C7" s="25">
        <v>62.299999</v>
      </c>
      <c r="D7" s="25">
        <v>61.720001000000003</v>
      </c>
      <c r="E7" s="25">
        <v>62.169998</v>
      </c>
      <c r="F7" s="25">
        <v>20198100</v>
      </c>
      <c r="G7" s="25">
        <v>60.812145000000001</v>
      </c>
      <c r="H7" s="19">
        <f t="shared" si="1"/>
        <v>3.2221251167899095E-3</v>
      </c>
      <c r="I7" s="20"/>
      <c r="J7" s="25">
        <f t="shared" si="2"/>
        <v>0.19999699999999621</v>
      </c>
      <c r="K7" s="25">
        <f t="shared" si="3"/>
        <v>0.19999699999999621</v>
      </c>
      <c r="L7" s="25">
        <f t="shared" si="4"/>
        <v>0</v>
      </c>
      <c r="M7" s="20"/>
      <c r="N7" s="20"/>
      <c r="O7" s="20"/>
      <c r="P7" s="20"/>
      <c r="Q7" s="25">
        <f t="shared" si="0"/>
        <v>0.57999799999999624</v>
      </c>
      <c r="R7" s="20"/>
      <c r="S7" s="20"/>
      <c r="T7" s="20"/>
      <c r="U7" s="20"/>
      <c r="V7" s="20"/>
      <c r="W7" s="20"/>
    </row>
    <row r="8" spans="1:23" x14ac:dyDescent="0.35">
      <c r="A8" s="26">
        <v>42717</v>
      </c>
      <c r="B8" s="25">
        <v>62.5</v>
      </c>
      <c r="C8" s="25">
        <v>63.419998</v>
      </c>
      <c r="D8" s="25">
        <v>62.240001999999997</v>
      </c>
      <c r="E8" s="25">
        <v>62.98</v>
      </c>
      <c r="F8" s="25">
        <v>35718900</v>
      </c>
      <c r="G8" s="25">
        <v>61.604453999999997</v>
      </c>
      <c r="H8" s="19">
        <f t="shared" si="1"/>
        <v>1.2944650806821568E-2</v>
      </c>
      <c r="I8" s="20"/>
      <c r="J8" s="25">
        <f t="shared" si="2"/>
        <v>0.81000199999999722</v>
      </c>
      <c r="K8" s="25">
        <f t="shared" si="3"/>
        <v>0.81000199999999722</v>
      </c>
      <c r="L8" s="25">
        <f t="shared" si="4"/>
        <v>0</v>
      </c>
      <c r="M8" s="20"/>
      <c r="N8" s="20"/>
      <c r="O8" s="20"/>
      <c r="P8" s="20"/>
      <c r="Q8" s="25">
        <f t="shared" si="0"/>
        <v>1.1799960000000027</v>
      </c>
      <c r="R8" s="20"/>
      <c r="S8" s="20"/>
      <c r="T8" s="20"/>
      <c r="U8" s="20"/>
      <c r="V8" s="20"/>
      <c r="W8" s="20"/>
    </row>
    <row r="9" spans="1:23" x14ac:dyDescent="0.35">
      <c r="A9" s="26">
        <v>42718</v>
      </c>
      <c r="B9" s="25">
        <v>63</v>
      </c>
      <c r="C9" s="25">
        <v>63.450001</v>
      </c>
      <c r="D9" s="25">
        <v>62.529998999999997</v>
      </c>
      <c r="E9" s="25">
        <v>62.68</v>
      </c>
      <c r="F9" s="25">
        <v>30352700</v>
      </c>
      <c r="G9" s="25">
        <v>61.311005000000002</v>
      </c>
      <c r="H9" s="19">
        <f t="shared" si="1"/>
        <v>-4.7748193744447283E-3</v>
      </c>
      <c r="I9" s="20"/>
      <c r="J9" s="25">
        <f t="shared" si="2"/>
        <v>-0.29999999999999716</v>
      </c>
      <c r="K9" s="25">
        <f t="shared" si="3"/>
        <v>0</v>
      </c>
      <c r="L9" s="25">
        <f t="shared" si="4"/>
        <v>0.29999999999999716</v>
      </c>
      <c r="M9" s="20"/>
      <c r="N9" s="20"/>
      <c r="O9" s="20"/>
      <c r="P9" s="20"/>
      <c r="Q9" s="25">
        <f t="shared" si="0"/>
        <v>0.92000200000000376</v>
      </c>
      <c r="R9" s="20"/>
      <c r="S9" s="20"/>
      <c r="T9" s="20"/>
      <c r="U9" s="20"/>
      <c r="V9" s="20"/>
      <c r="W9" s="20"/>
    </row>
    <row r="10" spans="1:23" x14ac:dyDescent="0.35">
      <c r="A10" s="26">
        <v>42719</v>
      </c>
      <c r="B10" s="25">
        <v>62.700001</v>
      </c>
      <c r="C10" s="25">
        <v>63.150002000000001</v>
      </c>
      <c r="D10" s="25">
        <v>62.299999</v>
      </c>
      <c r="E10" s="25">
        <v>62.580002</v>
      </c>
      <c r="F10" s="25">
        <v>27669900</v>
      </c>
      <c r="G10" s="25">
        <v>61.213191999999999</v>
      </c>
      <c r="H10" s="19">
        <f t="shared" si="1"/>
        <v>-1.5966319008647409E-3</v>
      </c>
      <c r="I10" s="20"/>
      <c r="J10" s="25">
        <f t="shared" si="2"/>
        <v>-9.9997999999999365E-2</v>
      </c>
      <c r="K10" s="25">
        <f t="shared" si="3"/>
        <v>0</v>
      </c>
      <c r="L10" s="25">
        <f t="shared" si="4"/>
        <v>9.9997999999999365E-2</v>
      </c>
      <c r="M10" s="20"/>
      <c r="N10" s="20"/>
      <c r="O10" s="20"/>
      <c r="P10" s="20"/>
      <c r="Q10" s="25">
        <f t="shared" si="0"/>
        <v>0.85000300000000095</v>
      </c>
      <c r="R10" s="20"/>
      <c r="S10" s="20"/>
      <c r="T10" s="20"/>
      <c r="U10" s="20"/>
      <c r="V10" s="20"/>
      <c r="W10" s="20"/>
    </row>
    <row r="11" spans="1:23" x14ac:dyDescent="0.35">
      <c r="A11" s="26">
        <v>42720</v>
      </c>
      <c r="B11" s="25">
        <v>62.950001</v>
      </c>
      <c r="C11" s="25">
        <v>62.950001</v>
      </c>
      <c r="D11" s="25">
        <v>62.119999</v>
      </c>
      <c r="E11" s="25">
        <v>62.299999</v>
      </c>
      <c r="F11" s="25">
        <v>42204700</v>
      </c>
      <c r="G11" s="25">
        <v>60.939304</v>
      </c>
      <c r="H11" s="19">
        <f t="shared" si="1"/>
        <v>-4.4843694226378876E-3</v>
      </c>
      <c r="I11" s="20"/>
      <c r="J11" s="25">
        <f t="shared" si="2"/>
        <v>-0.28000300000000067</v>
      </c>
      <c r="K11" s="25">
        <f t="shared" si="3"/>
        <v>0</v>
      </c>
      <c r="L11" s="25">
        <f t="shared" si="4"/>
        <v>0.28000300000000067</v>
      </c>
      <c r="M11" s="20"/>
      <c r="N11" s="20"/>
      <c r="O11" s="20"/>
      <c r="P11" s="20"/>
      <c r="Q11" s="25">
        <f t="shared" si="0"/>
        <v>0.83000200000000035</v>
      </c>
      <c r="R11" s="20"/>
      <c r="S11" s="20"/>
      <c r="T11" s="20"/>
      <c r="U11" s="20"/>
      <c r="V11" s="20"/>
      <c r="W11" s="20"/>
    </row>
    <row r="12" spans="1:23" x14ac:dyDescent="0.35">
      <c r="A12" s="26">
        <v>42723</v>
      </c>
      <c r="B12" s="25">
        <v>62.560001</v>
      </c>
      <c r="C12" s="25">
        <v>63.77</v>
      </c>
      <c r="D12" s="25">
        <v>62.419998</v>
      </c>
      <c r="E12" s="25">
        <v>63.619999</v>
      </c>
      <c r="F12" s="25">
        <v>34338200</v>
      </c>
      <c r="G12" s="25">
        <v>62.230476000000003</v>
      </c>
      <c r="H12" s="19">
        <f t="shared" si="1"/>
        <v>2.0966495173305087E-2</v>
      </c>
      <c r="I12" s="20"/>
      <c r="J12" s="25">
        <f t="shared" si="2"/>
        <v>1.3200000000000003</v>
      </c>
      <c r="K12" s="25">
        <f t="shared" si="3"/>
        <v>1.3200000000000003</v>
      </c>
      <c r="L12" s="25">
        <f t="shared" si="4"/>
        <v>0</v>
      </c>
      <c r="M12" s="20"/>
      <c r="N12" s="20"/>
      <c r="O12" s="20"/>
      <c r="P12" s="20"/>
      <c r="Q12" s="25">
        <f t="shared" si="0"/>
        <v>1.3500020000000035</v>
      </c>
      <c r="R12" s="20"/>
      <c r="S12" s="20"/>
      <c r="T12" s="20"/>
      <c r="U12" s="20"/>
      <c r="V12" s="20"/>
      <c r="W12" s="20"/>
    </row>
    <row r="13" spans="1:23" x14ac:dyDescent="0.35">
      <c r="A13" s="26">
        <v>42724</v>
      </c>
      <c r="B13" s="25">
        <v>63.689999</v>
      </c>
      <c r="C13" s="25">
        <v>63.799999</v>
      </c>
      <c r="D13" s="25">
        <v>63.029998999999997</v>
      </c>
      <c r="E13" s="25">
        <v>63.540000999999997</v>
      </c>
      <c r="F13" s="25">
        <v>26028400</v>
      </c>
      <c r="G13" s="25">
        <v>62.152225000000001</v>
      </c>
      <c r="H13" s="19">
        <f t="shared" si="1"/>
        <v>-1.2582297971409809E-3</v>
      </c>
      <c r="I13" s="20"/>
      <c r="J13" s="25">
        <f t="shared" si="2"/>
        <v>-7.9998000000003344E-2</v>
      </c>
      <c r="K13" s="25">
        <f t="shared" si="3"/>
        <v>0</v>
      </c>
      <c r="L13" s="25">
        <f t="shared" si="4"/>
        <v>7.9998000000003344E-2</v>
      </c>
      <c r="M13" s="20"/>
      <c r="N13" s="20"/>
      <c r="O13" s="20"/>
      <c r="P13" s="20"/>
      <c r="Q13" s="25">
        <f t="shared" si="0"/>
        <v>0.77000000000000313</v>
      </c>
      <c r="R13" s="20"/>
      <c r="S13" s="25"/>
      <c r="T13" s="20"/>
      <c r="U13" s="20"/>
      <c r="V13" s="20"/>
      <c r="W13" s="20"/>
    </row>
    <row r="14" spans="1:23" x14ac:dyDescent="0.35">
      <c r="A14" s="26">
        <v>42725</v>
      </c>
      <c r="B14" s="25">
        <v>63.43</v>
      </c>
      <c r="C14" s="25">
        <v>63.700001</v>
      </c>
      <c r="D14" s="25">
        <v>63.119999</v>
      </c>
      <c r="E14" s="25">
        <v>63.540000999999997</v>
      </c>
      <c r="F14" s="25">
        <v>17096300</v>
      </c>
      <c r="G14" s="25">
        <v>62.152225000000001</v>
      </c>
      <c r="H14" s="19">
        <f t="shared" si="1"/>
        <v>0</v>
      </c>
      <c r="I14" s="20"/>
      <c r="J14" s="25">
        <f t="shared" si="2"/>
        <v>0</v>
      </c>
      <c r="K14" s="25">
        <f t="shared" si="3"/>
        <v>0</v>
      </c>
      <c r="L14" s="25">
        <f t="shared" si="4"/>
        <v>0</v>
      </c>
      <c r="M14" s="20"/>
      <c r="N14" s="20"/>
      <c r="O14" s="20"/>
      <c r="P14" s="20"/>
      <c r="Q14" s="25">
        <f t="shared" si="0"/>
        <v>0.58000200000000035</v>
      </c>
      <c r="R14" s="20"/>
      <c r="S14" s="25"/>
      <c r="T14" s="20"/>
      <c r="U14" s="20"/>
      <c r="V14" s="20"/>
      <c r="W14" s="20"/>
    </row>
    <row r="15" spans="1:23" x14ac:dyDescent="0.35">
      <c r="A15" s="26">
        <v>42726</v>
      </c>
      <c r="B15" s="25">
        <v>63.84</v>
      </c>
      <c r="C15" s="25">
        <v>64.099997999999999</v>
      </c>
      <c r="D15" s="25">
        <v>63.41</v>
      </c>
      <c r="E15" s="25">
        <v>63.549999</v>
      </c>
      <c r="F15" s="25">
        <v>22176600</v>
      </c>
      <c r="G15" s="25">
        <v>62.162002999999999</v>
      </c>
      <c r="H15" s="19">
        <f t="shared" si="1"/>
        <v>1.5731103635472954E-4</v>
      </c>
      <c r="I15" s="20"/>
      <c r="J15" s="25">
        <f t="shared" si="2"/>
        <v>9.99800000000306E-3</v>
      </c>
      <c r="K15" s="25">
        <f t="shared" si="3"/>
        <v>9.99800000000306E-3</v>
      </c>
      <c r="L15" s="25">
        <f t="shared" si="4"/>
        <v>0</v>
      </c>
      <c r="M15" s="20"/>
      <c r="N15" s="20"/>
      <c r="O15" s="20"/>
      <c r="P15" s="20"/>
      <c r="Q15" s="25">
        <f t="shared" si="0"/>
        <v>0.68999800000000278</v>
      </c>
      <c r="R15" s="25"/>
      <c r="S15" s="25"/>
      <c r="T15" s="20"/>
      <c r="U15" s="20"/>
      <c r="V15" s="20"/>
      <c r="W15" s="20"/>
    </row>
    <row r="16" spans="1:23" x14ac:dyDescent="0.35">
      <c r="A16" s="26">
        <v>42727</v>
      </c>
      <c r="B16" s="25">
        <v>63.450001</v>
      </c>
      <c r="C16" s="25">
        <v>63.540000999999997</v>
      </c>
      <c r="D16" s="25">
        <v>62.799999</v>
      </c>
      <c r="E16" s="25">
        <v>63.240001999999997</v>
      </c>
      <c r="F16" s="25">
        <v>12398000</v>
      </c>
      <c r="G16" s="25">
        <v>61.858780000000003</v>
      </c>
      <c r="H16" s="19">
        <f t="shared" si="1"/>
        <v>-4.8898837253093363E-3</v>
      </c>
      <c r="I16" s="21">
        <f>STDEV(H3:H16)*SQRT(252)</f>
        <v>0.16261109339462756</v>
      </c>
      <c r="J16" s="25">
        <f t="shared" si="2"/>
        <v>-0.30999700000000274</v>
      </c>
      <c r="K16" s="25">
        <f t="shared" si="3"/>
        <v>0</v>
      </c>
      <c r="L16" s="25">
        <f t="shared" si="4"/>
        <v>0.30999700000000274</v>
      </c>
      <c r="M16" s="20">
        <f>AVERAGE(K3:K16)</f>
        <v>0.33714271428571407</v>
      </c>
      <c r="N16" s="20">
        <f>AVERAGE(L3:L16)</f>
        <v>0.12142835714285738</v>
      </c>
      <c r="O16" s="20">
        <f>M16/N16</f>
        <v>2.7764743114252481</v>
      </c>
      <c r="P16" s="20">
        <f>IF(N16=0,100,100-(100/(1+O16)))</f>
        <v>73.520275327317179</v>
      </c>
      <c r="Q16" s="25">
        <f t="shared" si="0"/>
        <v>0.74000199999999694</v>
      </c>
      <c r="R16" s="25">
        <f t="shared" ref="R16:R78" si="5">AVERAGE(Q3:Q16)</f>
        <v>0.88071500000000058</v>
      </c>
      <c r="S16" s="25">
        <f t="shared" ref="S16:S76" si="6">AVERAGE(E5:E16)</f>
        <v>62.764999999999993</v>
      </c>
      <c r="T16" s="20"/>
      <c r="U16" s="20"/>
      <c r="V16" s="20"/>
      <c r="W16" s="20"/>
    </row>
    <row r="17" spans="1:23" x14ac:dyDescent="0.35">
      <c r="A17" s="26">
        <v>42731</v>
      </c>
      <c r="B17" s="25">
        <v>63.209999000000003</v>
      </c>
      <c r="C17" s="25">
        <v>64.069999999999993</v>
      </c>
      <c r="D17" s="25">
        <v>63.209999000000003</v>
      </c>
      <c r="E17" s="25">
        <v>63.279998999999997</v>
      </c>
      <c r="F17" s="25">
        <v>11763200</v>
      </c>
      <c r="G17" s="25">
        <v>61.897896000000003</v>
      </c>
      <c r="H17" s="19">
        <f t="shared" si="1"/>
        <v>6.3214369627350223E-4</v>
      </c>
      <c r="I17" s="27">
        <f t="shared" ref="I17:I80" si="7">STDEV(H4:H17)*SQRT(252)</f>
        <v>0.15914689200510032</v>
      </c>
      <c r="J17" s="25">
        <f t="shared" si="2"/>
        <v>3.9996999999999616E-2</v>
      </c>
      <c r="K17" s="25">
        <f t="shared" si="3"/>
        <v>3.9996999999999616E-2</v>
      </c>
      <c r="L17" s="25">
        <f t="shared" si="4"/>
        <v>0</v>
      </c>
      <c r="M17" s="25">
        <f t="shared" ref="M17:N17" si="8">AVERAGE(K4:K17)</f>
        <v>0.33999964285714263</v>
      </c>
      <c r="N17" s="25">
        <f t="shared" si="8"/>
        <v>0.10214264285714288</v>
      </c>
      <c r="O17" s="25">
        <f t="shared" ref="O17:O80" si="9">M17/N17</f>
        <v>3.3286748154017078</v>
      </c>
      <c r="P17" s="25">
        <f t="shared" ref="P17:P80" si="10">IF(N17=0,100,100-(100/(1+O17)))</f>
        <v>76.898241548615886</v>
      </c>
      <c r="Q17" s="25">
        <f t="shared" si="0"/>
        <v>0.8600009999999898</v>
      </c>
      <c r="R17" s="25">
        <f t="shared" si="5"/>
        <v>0.89500078571428532</v>
      </c>
      <c r="S17" s="25">
        <f t="shared" si="6"/>
        <v>62.954166749999992</v>
      </c>
      <c r="T17" s="20"/>
      <c r="U17" s="20"/>
      <c r="V17" s="20"/>
      <c r="W17" s="20"/>
    </row>
    <row r="18" spans="1:23" x14ac:dyDescent="0.35">
      <c r="A18" s="26">
        <v>42732</v>
      </c>
      <c r="B18" s="25">
        <v>63.400002000000001</v>
      </c>
      <c r="C18" s="25">
        <v>63.400002000000001</v>
      </c>
      <c r="D18" s="25">
        <v>62.830002</v>
      </c>
      <c r="E18" s="25">
        <v>62.990001999999997</v>
      </c>
      <c r="F18" s="25">
        <v>14653300</v>
      </c>
      <c r="G18" s="25">
        <v>61.614235000000001</v>
      </c>
      <c r="H18" s="19">
        <f t="shared" si="1"/>
        <v>-4.5932573007495649E-3</v>
      </c>
      <c r="I18" s="27">
        <f t="shared" si="7"/>
        <v>0.13497964627487705</v>
      </c>
      <c r="J18" s="25">
        <f t="shared" si="2"/>
        <v>-0.28999699999999962</v>
      </c>
      <c r="K18" s="25">
        <f t="shared" si="3"/>
        <v>0</v>
      </c>
      <c r="L18" s="25">
        <f t="shared" si="4"/>
        <v>0.28999699999999962</v>
      </c>
      <c r="M18" s="25">
        <f t="shared" ref="M18:N18" si="11">AVERAGE(K5:K18)</f>
        <v>0.23857121428571407</v>
      </c>
      <c r="N18" s="25">
        <f t="shared" si="11"/>
        <v>0.12285671428571428</v>
      </c>
      <c r="O18" s="25">
        <f t="shared" si="9"/>
        <v>1.9418654948796317</v>
      </c>
      <c r="P18" s="25">
        <f t="shared" si="10"/>
        <v>66.007963255270596</v>
      </c>
      <c r="Q18" s="25">
        <f t="shared" si="0"/>
        <v>0.57000000000000028</v>
      </c>
      <c r="R18" s="25">
        <f t="shared" si="5"/>
        <v>0.82285778571428536</v>
      </c>
      <c r="S18" s="25">
        <f t="shared" si="6"/>
        <v>63.039166833333333</v>
      </c>
      <c r="T18" s="20"/>
      <c r="U18" s="20"/>
      <c r="V18" s="20"/>
      <c r="W18" s="20"/>
    </row>
    <row r="19" spans="1:23" x14ac:dyDescent="0.35">
      <c r="A19" s="26">
        <v>42733</v>
      </c>
      <c r="B19" s="25">
        <v>62.860000999999997</v>
      </c>
      <c r="C19" s="25">
        <v>63.200001</v>
      </c>
      <c r="D19" s="25">
        <v>62.73</v>
      </c>
      <c r="E19" s="25">
        <v>62.900002000000001</v>
      </c>
      <c r="F19" s="25">
        <v>10181600</v>
      </c>
      <c r="G19" s="25">
        <v>61.526206999999999</v>
      </c>
      <c r="H19" s="19">
        <f t="shared" si="1"/>
        <v>-1.429717379035867E-3</v>
      </c>
      <c r="I19" s="27">
        <f t="shared" si="7"/>
        <v>0.13129864204128566</v>
      </c>
      <c r="J19" s="25">
        <f t="shared" si="2"/>
        <v>-8.9999999999996305E-2</v>
      </c>
      <c r="K19" s="25">
        <f t="shared" si="3"/>
        <v>0</v>
      </c>
      <c r="L19" s="25">
        <f t="shared" si="4"/>
        <v>8.9999999999996305E-2</v>
      </c>
      <c r="M19" s="25">
        <f t="shared" ref="M19:N19" si="12">AVERAGE(K6:K19)</f>
        <v>0.23857121428571407</v>
      </c>
      <c r="N19" s="25">
        <f t="shared" si="12"/>
        <v>0.10357092857142851</v>
      </c>
      <c r="O19" s="25">
        <f t="shared" si="9"/>
        <v>2.3034573270353711</v>
      </c>
      <c r="P19" s="25">
        <f t="shared" si="10"/>
        <v>69.728684193495184</v>
      </c>
      <c r="Q19" s="25">
        <f t="shared" si="0"/>
        <v>0.47000100000000344</v>
      </c>
      <c r="R19" s="25">
        <f t="shared" si="5"/>
        <v>0.80357200000000006</v>
      </c>
      <c r="S19" s="25">
        <f t="shared" si="6"/>
        <v>63.1000005</v>
      </c>
      <c r="T19" s="20"/>
      <c r="U19" s="20"/>
      <c r="V19" s="20"/>
      <c r="W19" s="20"/>
    </row>
    <row r="20" spans="1:23" x14ac:dyDescent="0.35">
      <c r="A20" s="26">
        <v>42734</v>
      </c>
      <c r="B20" s="25">
        <v>62.959999000000003</v>
      </c>
      <c r="C20" s="25">
        <v>62.990001999999997</v>
      </c>
      <c r="D20" s="25">
        <v>62.029998999999997</v>
      </c>
      <c r="E20" s="25">
        <v>62.139999000000003</v>
      </c>
      <c r="F20" s="25">
        <v>25579900</v>
      </c>
      <c r="G20" s="25">
        <v>60.782795</v>
      </c>
      <c r="H20" s="19">
        <f t="shared" si="1"/>
        <v>-1.2156442173236359E-2</v>
      </c>
      <c r="I20" s="27">
        <f t="shared" si="7"/>
        <v>0.12906287552951023</v>
      </c>
      <c r="J20" s="25">
        <f t="shared" si="2"/>
        <v>-0.76000299999999754</v>
      </c>
      <c r="K20" s="25">
        <f t="shared" si="3"/>
        <v>0</v>
      </c>
      <c r="L20" s="25">
        <f t="shared" si="4"/>
        <v>0.76000299999999754</v>
      </c>
      <c r="M20" s="25">
        <f t="shared" ref="M20:N20" si="13">AVERAGE(K7:K20)</f>
        <v>0.16999957142857117</v>
      </c>
      <c r="N20" s="25">
        <f t="shared" si="13"/>
        <v>0.15785685714285691</v>
      </c>
      <c r="O20" s="25">
        <f t="shared" si="9"/>
        <v>1.0769223111716038</v>
      </c>
      <c r="P20" s="25">
        <f t="shared" si="10"/>
        <v>51.851834099856426</v>
      </c>
      <c r="Q20" s="25">
        <f t="shared" si="0"/>
        <v>0.96000300000000038</v>
      </c>
      <c r="R20" s="25">
        <f t="shared" si="5"/>
        <v>0.8107150000000003</v>
      </c>
      <c r="S20" s="25">
        <f t="shared" si="6"/>
        <v>63.030000416666667</v>
      </c>
      <c r="T20" s="20"/>
      <c r="U20" s="20"/>
      <c r="V20" s="20"/>
      <c r="W20" s="20"/>
    </row>
    <row r="21" spans="1:23" x14ac:dyDescent="0.35">
      <c r="A21" s="26">
        <v>42738</v>
      </c>
      <c r="B21" s="25">
        <v>62.790000999999997</v>
      </c>
      <c r="C21" s="25">
        <v>62.84</v>
      </c>
      <c r="D21" s="25">
        <v>62.130001</v>
      </c>
      <c r="E21" s="25">
        <v>62.580002</v>
      </c>
      <c r="F21" s="25">
        <v>20694100</v>
      </c>
      <c r="G21" s="25">
        <v>61.213191999999999</v>
      </c>
      <c r="H21" s="19">
        <f t="shared" si="1"/>
        <v>7.0559498921766769E-3</v>
      </c>
      <c r="I21" s="27">
        <f t="shared" si="7"/>
        <v>0.13180147636771106</v>
      </c>
      <c r="J21" s="25">
        <f t="shared" si="2"/>
        <v>0.44000299999999726</v>
      </c>
      <c r="K21" s="25">
        <f t="shared" si="3"/>
        <v>0.44000299999999726</v>
      </c>
      <c r="L21" s="25">
        <f t="shared" si="4"/>
        <v>0</v>
      </c>
      <c r="M21" s="25">
        <f t="shared" ref="M21:N21" si="14">AVERAGE(K8:K21)</f>
        <v>0.18714285714285697</v>
      </c>
      <c r="N21" s="25">
        <f t="shared" si="14"/>
        <v>0.15785685714285691</v>
      </c>
      <c r="O21" s="25">
        <f t="shared" si="9"/>
        <v>1.1855225077330462</v>
      </c>
      <c r="P21" s="25">
        <f t="shared" si="10"/>
        <v>54.244351341077731</v>
      </c>
      <c r="Q21" s="25">
        <f t="shared" si="0"/>
        <v>0.70999900000000338</v>
      </c>
      <c r="R21" s="25">
        <f t="shared" si="5"/>
        <v>0.82000078571428658</v>
      </c>
      <c r="S21" s="25">
        <f t="shared" si="6"/>
        <v>63.02166725</v>
      </c>
      <c r="T21" s="20"/>
      <c r="U21" s="20"/>
      <c r="V21" s="20"/>
      <c r="W21" s="20"/>
    </row>
    <row r="22" spans="1:23" x14ac:dyDescent="0.35">
      <c r="A22" s="26">
        <v>42739</v>
      </c>
      <c r="B22" s="25">
        <v>62.48</v>
      </c>
      <c r="C22" s="25">
        <v>62.75</v>
      </c>
      <c r="D22" s="25">
        <v>62.119999</v>
      </c>
      <c r="E22" s="25">
        <v>62.299999</v>
      </c>
      <c r="F22" s="25">
        <v>21340000</v>
      </c>
      <c r="G22" s="25">
        <v>60.939304</v>
      </c>
      <c r="H22" s="19">
        <f t="shared" si="1"/>
        <v>-4.4843694226378876E-3</v>
      </c>
      <c r="I22" s="27">
        <f t="shared" si="7"/>
        <v>0.12004137508807011</v>
      </c>
      <c r="J22" s="25">
        <f t="shared" si="2"/>
        <v>-0.28000300000000067</v>
      </c>
      <c r="K22" s="25">
        <f t="shared" si="3"/>
        <v>0</v>
      </c>
      <c r="L22" s="25">
        <f t="shared" si="4"/>
        <v>0.28000300000000067</v>
      </c>
      <c r="M22" s="25">
        <f t="shared" ref="M22:N22" si="15">AVERAGE(K9:K22)</f>
        <v>0.12928557142857144</v>
      </c>
      <c r="N22" s="25">
        <f t="shared" si="15"/>
        <v>0.17785707142857124</v>
      </c>
      <c r="O22" s="25">
        <f t="shared" si="9"/>
        <v>0.72690711923980778</v>
      </c>
      <c r="P22" s="25">
        <f t="shared" si="10"/>
        <v>42.093006111399639</v>
      </c>
      <c r="Q22" s="25">
        <f t="shared" si="0"/>
        <v>0.63000100000000003</v>
      </c>
      <c r="R22" s="25">
        <f t="shared" si="5"/>
        <v>0.78071542857142917</v>
      </c>
      <c r="S22" s="25">
        <f t="shared" si="6"/>
        <v>62.99833366666666</v>
      </c>
      <c r="T22" s="20"/>
      <c r="U22" s="20"/>
      <c r="V22" s="20"/>
      <c r="W22" s="20"/>
    </row>
    <row r="23" spans="1:23" x14ac:dyDescent="0.35">
      <c r="A23" s="26">
        <v>42740</v>
      </c>
      <c r="B23" s="25">
        <v>62.189999</v>
      </c>
      <c r="C23" s="25">
        <v>62.66</v>
      </c>
      <c r="D23" s="25">
        <v>62.029998999999997</v>
      </c>
      <c r="E23" s="25">
        <v>62.299999</v>
      </c>
      <c r="F23" s="25">
        <v>24876000</v>
      </c>
      <c r="G23" s="25">
        <v>60.939304</v>
      </c>
      <c r="H23" s="19">
        <f t="shared" si="1"/>
        <v>0</v>
      </c>
      <c r="I23" s="27">
        <f t="shared" si="7"/>
        <v>0.11865899897846349</v>
      </c>
      <c r="J23" s="25">
        <f t="shared" si="2"/>
        <v>0</v>
      </c>
      <c r="K23" s="25">
        <f t="shared" si="3"/>
        <v>0</v>
      </c>
      <c r="L23" s="25">
        <f t="shared" si="4"/>
        <v>0</v>
      </c>
      <c r="M23" s="25">
        <f t="shared" ref="M23:N23" si="16">AVERAGE(K10:K23)</f>
        <v>0.12928557142857144</v>
      </c>
      <c r="N23" s="25">
        <f t="shared" si="16"/>
        <v>0.15642850000000003</v>
      </c>
      <c r="O23" s="25">
        <f t="shared" si="9"/>
        <v>0.82648348241254899</v>
      </c>
      <c r="P23" s="25">
        <f t="shared" si="10"/>
        <v>45.249983937487954</v>
      </c>
      <c r="Q23" s="25">
        <f t="shared" si="0"/>
        <v>0.63000100000000003</v>
      </c>
      <c r="R23" s="25">
        <f t="shared" si="5"/>
        <v>0.76000107142857176</v>
      </c>
      <c r="S23" s="25">
        <f t="shared" si="6"/>
        <v>62.99833366666666</v>
      </c>
      <c r="T23" s="20"/>
      <c r="U23" s="20"/>
      <c r="V23" s="20"/>
      <c r="W23" s="20"/>
    </row>
    <row r="24" spans="1:23" x14ac:dyDescent="0.35">
      <c r="A24" s="26">
        <v>42741</v>
      </c>
      <c r="B24" s="25">
        <v>62.299999</v>
      </c>
      <c r="C24" s="25">
        <v>63.150002000000001</v>
      </c>
      <c r="D24" s="25">
        <v>62.040000999999997</v>
      </c>
      <c r="E24" s="25">
        <v>62.84</v>
      </c>
      <c r="F24" s="25">
        <v>19922900</v>
      </c>
      <c r="G24" s="25">
        <v>61.467509999999997</v>
      </c>
      <c r="H24" s="19">
        <f t="shared" si="1"/>
        <v>8.6303901113614859E-3</v>
      </c>
      <c r="I24" s="27">
        <f t="shared" si="7"/>
        <v>0.12450614038771395</v>
      </c>
      <c r="J24" s="25">
        <f t="shared" si="2"/>
        <v>0.54000100000000373</v>
      </c>
      <c r="K24" s="25">
        <f t="shared" si="3"/>
        <v>0.54000100000000373</v>
      </c>
      <c r="L24" s="25">
        <f t="shared" si="4"/>
        <v>0</v>
      </c>
      <c r="M24" s="25">
        <f t="shared" ref="M24:N24" si="17">AVERAGE(K11:K24)</f>
        <v>0.1678570714285717</v>
      </c>
      <c r="N24" s="25">
        <f t="shared" si="17"/>
        <v>0.14928578571428577</v>
      </c>
      <c r="O24" s="25">
        <f t="shared" si="9"/>
        <v>1.1244008974158399</v>
      </c>
      <c r="P24" s="25">
        <f t="shared" si="10"/>
        <v>52.927905405405433</v>
      </c>
      <c r="Q24" s="25">
        <f t="shared" si="0"/>
        <v>1.110001000000004</v>
      </c>
      <c r="R24" s="25">
        <f t="shared" si="5"/>
        <v>0.77857235714285777</v>
      </c>
      <c r="S24" s="25">
        <f t="shared" si="6"/>
        <v>62.933333749999996</v>
      </c>
      <c r="T24" s="20"/>
      <c r="U24" s="20"/>
      <c r="V24" s="20"/>
      <c r="W24" s="20"/>
    </row>
    <row r="25" spans="1:23" x14ac:dyDescent="0.35">
      <c r="A25" s="26">
        <v>42744</v>
      </c>
      <c r="B25" s="25">
        <v>62.759998000000003</v>
      </c>
      <c r="C25" s="25">
        <v>63.080002</v>
      </c>
      <c r="D25" s="25">
        <v>62.540000999999997</v>
      </c>
      <c r="E25" s="25">
        <v>62.639999000000003</v>
      </c>
      <c r="F25" s="25">
        <v>20256600</v>
      </c>
      <c r="G25" s="25">
        <v>61.271881</v>
      </c>
      <c r="H25" s="19">
        <f t="shared" si="1"/>
        <v>-3.187716087943221E-3</v>
      </c>
      <c r="I25" s="27">
        <f t="shared" si="7"/>
        <v>0.12365971429251853</v>
      </c>
      <c r="J25" s="25">
        <f t="shared" si="2"/>
        <v>-0.20000100000000032</v>
      </c>
      <c r="K25" s="25">
        <f t="shared" si="3"/>
        <v>0</v>
      </c>
      <c r="L25" s="25">
        <f t="shared" si="4"/>
        <v>0.20000100000000032</v>
      </c>
      <c r="M25" s="25">
        <f t="shared" ref="M25:N25" si="18">AVERAGE(K12:K25)</f>
        <v>0.1678570714285717</v>
      </c>
      <c r="N25" s="25">
        <f t="shared" si="18"/>
        <v>0.14357135714285718</v>
      </c>
      <c r="O25" s="25">
        <f t="shared" si="9"/>
        <v>1.1691543130120976</v>
      </c>
      <c r="P25" s="25">
        <f t="shared" si="10"/>
        <v>53.899084357378186</v>
      </c>
      <c r="Q25" s="25">
        <f t="shared" si="0"/>
        <v>0.54000100000000373</v>
      </c>
      <c r="R25" s="25">
        <f t="shared" si="5"/>
        <v>0.75785800000000081</v>
      </c>
      <c r="S25" s="25">
        <f t="shared" si="6"/>
        <v>62.858333583333327</v>
      </c>
      <c r="T25" s="20"/>
      <c r="U25" s="20"/>
      <c r="V25" s="20"/>
      <c r="W25" s="20"/>
    </row>
    <row r="26" spans="1:23" x14ac:dyDescent="0.35">
      <c r="A26" s="26">
        <v>42745</v>
      </c>
      <c r="B26" s="25">
        <v>62.73</v>
      </c>
      <c r="C26" s="25">
        <v>63.07</v>
      </c>
      <c r="D26" s="25">
        <v>62.279998999999997</v>
      </c>
      <c r="E26" s="25">
        <v>62.619999</v>
      </c>
      <c r="F26" s="25">
        <v>18593000</v>
      </c>
      <c r="G26" s="25">
        <v>61.252316</v>
      </c>
      <c r="H26" s="19">
        <f t="shared" si="1"/>
        <v>-3.1936549098609038E-4</v>
      </c>
      <c r="I26" s="27">
        <f t="shared" si="7"/>
        <v>8.0410269841345458E-2</v>
      </c>
      <c r="J26" s="25">
        <f t="shared" si="2"/>
        <v>-2.0000000000003126E-2</v>
      </c>
      <c r="K26" s="25">
        <f t="shared" si="3"/>
        <v>0</v>
      </c>
      <c r="L26" s="25">
        <f t="shared" si="4"/>
        <v>2.0000000000003126E-2</v>
      </c>
      <c r="M26" s="25">
        <f t="shared" ref="M26:N26" si="19">AVERAGE(K13:K26)</f>
        <v>7.357135714285741E-2</v>
      </c>
      <c r="N26" s="25">
        <f t="shared" si="19"/>
        <v>0.14499992857142882</v>
      </c>
      <c r="O26" s="25">
        <f t="shared" si="9"/>
        <v>0.50738891989602064</v>
      </c>
      <c r="P26" s="25">
        <f t="shared" si="10"/>
        <v>33.660120039294185</v>
      </c>
      <c r="Q26" s="25">
        <f t="shared" si="0"/>
        <v>0.79000100000000373</v>
      </c>
      <c r="R26" s="25">
        <f t="shared" si="5"/>
        <v>0.71785792857142938</v>
      </c>
      <c r="S26" s="25">
        <f t="shared" si="6"/>
        <v>62.781666749999999</v>
      </c>
      <c r="T26" s="20">
        <f>AVERAGE(E1:E26)</f>
        <v>62.452400039999993</v>
      </c>
      <c r="U26" s="20">
        <f>S26 - T26</f>
        <v>0.32926671000000596</v>
      </c>
      <c r="V26" s="20">
        <f>U26*(2/(9+1)) + V25 * (1-(2/(9+1)))</f>
        <v>6.5853342000001189E-2</v>
      </c>
      <c r="W26" s="20">
        <f>U26*(2/(9+1)) + V25 * (1-(2/(9+1)))</f>
        <v>6.5853342000001189E-2</v>
      </c>
    </row>
    <row r="27" spans="1:23" x14ac:dyDescent="0.35">
      <c r="A27" s="26">
        <v>42746</v>
      </c>
      <c r="B27" s="25">
        <v>62.610000999999997</v>
      </c>
      <c r="C27" s="25">
        <v>63.23</v>
      </c>
      <c r="D27" s="25">
        <v>62.43</v>
      </c>
      <c r="E27" s="25">
        <v>63.189999</v>
      </c>
      <c r="F27" s="25">
        <v>21517300</v>
      </c>
      <c r="G27" s="25">
        <v>61.809868000000002</v>
      </c>
      <c r="H27" s="19">
        <f t="shared" si="1"/>
        <v>9.0613671372647992E-3</v>
      </c>
      <c r="I27" s="27">
        <f t="shared" si="7"/>
        <v>9.1280145835913193E-2</v>
      </c>
      <c r="J27" s="25">
        <f t="shared" si="2"/>
        <v>0.57000000000000028</v>
      </c>
      <c r="K27" s="25">
        <f t="shared" si="3"/>
        <v>0.57000000000000028</v>
      </c>
      <c r="L27" s="25">
        <f t="shared" si="4"/>
        <v>0</v>
      </c>
      <c r="M27" s="25">
        <f t="shared" ref="M27:N27" si="20">AVERAGE(K14:K27)</f>
        <v>0.11428564285714314</v>
      </c>
      <c r="N27" s="25">
        <f t="shared" si="20"/>
        <v>0.13928578571428574</v>
      </c>
      <c r="O27" s="25">
        <f t="shared" si="9"/>
        <v>0.82051188691698296</v>
      </c>
      <c r="P27" s="25">
        <f t="shared" si="10"/>
        <v>45.070394366197242</v>
      </c>
      <c r="Q27" s="25">
        <f t="shared" si="0"/>
        <v>0.79999999999999716</v>
      </c>
      <c r="R27" s="25">
        <f t="shared" si="5"/>
        <v>0.72000078571428616</v>
      </c>
      <c r="S27" s="25">
        <f t="shared" si="6"/>
        <v>62.751666750000005</v>
      </c>
      <c r="T27" s="20">
        <v>62.480769230769219</v>
      </c>
      <c r="U27" s="20">
        <v>0.21485716445715042</v>
      </c>
      <c r="V27" s="20">
        <v>6.7505901225144674E-2</v>
      </c>
      <c r="W27" s="20">
        <v>0.14735126323200576</v>
      </c>
    </row>
    <row r="28" spans="1:23" x14ac:dyDescent="0.35">
      <c r="A28" s="26">
        <v>42747</v>
      </c>
      <c r="B28" s="25">
        <v>63.060001</v>
      </c>
      <c r="C28" s="25">
        <v>63.400002000000001</v>
      </c>
      <c r="D28" s="25">
        <v>61.950001</v>
      </c>
      <c r="E28" s="25">
        <v>62.610000999999997</v>
      </c>
      <c r="F28" s="25">
        <v>20968200</v>
      </c>
      <c r="G28" s="25">
        <v>61.242534999999997</v>
      </c>
      <c r="H28" s="19">
        <f t="shared" si="1"/>
        <v>-9.2210636459904415E-3</v>
      </c>
      <c r="I28" s="27">
        <f t="shared" si="7"/>
        <v>9.8597784092674487E-2</v>
      </c>
      <c r="J28" s="25">
        <f t="shared" si="2"/>
        <v>-0.57999800000000334</v>
      </c>
      <c r="K28" s="25">
        <f t="shared" si="3"/>
        <v>0</v>
      </c>
      <c r="L28" s="25">
        <f t="shared" si="4"/>
        <v>0.57999800000000334</v>
      </c>
      <c r="M28" s="25">
        <f t="shared" ref="M28:N28" si="21">AVERAGE(K15:K28)</f>
        <v>0.11428564285714314</v>
      </c>
      <c r="N28" s="25">
        <f t="shared" si="21"/>
        <v>0.18071421428571455</v>
      </c>
      <c r="O28" s="25">
        <f t="shared" si="9"/>
        <v>0.63241092190155079</v>
      </c>
      <c r="P28" s="25">
        <f t="shared" si="10"/>
        <v>38.740914644510745</v>
      </c>
      <c r="Q28" s="25">
        <f t="shared" si="0"/>
        <v>1.4500010000000003</v>
      </c>
      <c r="R28" s="25">
        <f t="shared" si="5"/>
        <v>0.78214357142857183</v>
      </c>
      <c r="S28" s="25">
        <f t="shared" si="6"/>
        <v>62.699166666666677</v>
      </c>
      <c r="T28" s="20">
        <v>62.490341954415946</v>
      </c>
      <c r="U28" s="20">
        <v>0.19211130308328705</v>
      </c>
      <c r="V28" s="20">
        <v>9.242698159677315E-2</v>
      </c>
      <c r="W28" s="20">
        <v>9.9684321486513905E-2</v>
      </c>
    </row>
    <row r="29" spans="1:23" x14ac:dyDescent="0.35">
      <c r="A29" s="26">
        <v>42748</v>
      </c>
      <c r="B29" s="25">
        <v>62.619999</v>
      </c>
      <c r="C29" s="25">
        <v>62.869999</v>
      </c>
      <c r="D29" s="25">
        <v>62.349997999999999</v>
      </c>
      <c r="E29" s="25">
        <v>62.700001</v>
      </c>
      <c r="F29" s="25">
        <v>19422300</v>
      </c>
      <c r="G29" s="25">
        <v>61.330570000000002</v>
      </c>
      <c r="H29" s="19">
        <f t="shared" si="1"/>
        <v>1.4364491319284896E-3</v>
      </c>
      <c r="I29" s="27">
        <f t="shared" si="7"/>
        <v>9.9050515901050365E-2</v>
      </c>
      <c r="J29" s="25">
        <f t="shared" si="2"/>
        <v>9.0000000000003411E-2</v>
      </c>
      <c r="K29" s="25">
        <f t="shared" si="3"/>
        <v>9.0000000000003411E-2</v>
      </c>
      <c r="L29" s="25">
        <f t="shared" si="4"/>
        <v>0</v>
      </c>
      <c r="M29" s="25">
        <f t="shared" ref="M29:N29" si="22">AVERAGE(K16:K29)</f>
        <v>0.12000007142857173</v>
      </c>
      <c r="N29" s="25">
        <f t="shared" si="22"/>
        <v>0.18071421428571455</v>
      </c>
      <c r="O29" s="25">
        <f t="shared" si="9"/>
        <v>0.66403227827362854</v>
      </c>
      <c r="P29" s="25">
        <f t="shared" si="10"/>
        <v>39.905011876484586</v>
      </c>
      <c r="Q29" s="25">
        <f t="shared" si="0"/>
        <v>0.5200010000000006</v>
      </c>
      <c r="R29" s="25">
        <f t="shared" si="5"/>
        <v>0.77000092857142888</v>
      </c>
      <c r="S29" s="25">
        <f t="shared" si="6"/>
        <v>62.650833500000005</v>
      </c>
      <c r="T29" s="20">
        <v>62.505872254088843</v>
      </c>
      <c r="U29" s="20">
        <v>0.17928065610281863</v>
      </c>
      <c r="V29" s="20">
        <v>0.10979771649798226</v>
      </c>
      <c r="W29" s="20">
        <v>6.9482939604836369E-2</v>
      </c>
    </row>
    <row r="30" spans="1:23" x14ac:dyDescent="0.35">
      <c r="A30" s="26">
        <v>42752</v>
      </c>
      <c r="B30" s="25">
        <v>62.68</v>
      </c>
      <c r="C30" s="25">
        <v>62.700001</v>
      </c>
      <c r="D30" s="25">
        <v>62.029998999999997</v>
      </c>
      <c r="E30" s="25">
        <v>62.529998999999997</v>
      </c>
      <c r="F30" s="25">
        <v>20620400</v>
      </c>
      <c r="G30" s="25">
        <v>61.164279999999998</v>
      </c>
      <c r="H30" s="19">
        <f t="shared" si="1"/>
        <v>-2.7150545863903904E-3</v>
      </c>
      <c r="I30" s="27">
        <f t="shared" si="7"/>
        <v>9.7800523439965079E-2</v>
      </c>
      <c r="J30" s="25">
        <f t="shared" si="2"/>
        <v>-0.17000200000000376</v>
      </c>
      <c r="K30" s="25">
        <f t="shared" si="3"/>
        <v>0</v>
      </c>
      <c r="L30" s="25">
        <f t="shared" si="4"/>
        <v>0.17000200000000376</v>
      </c>
      <c r="M30" s="25">
        <f t="shared" ref="M30:N30" si="23">AVERAGE(K17:K30)</f>
        <v>0.12000007142857173</v>
      </c>
      <c r="N30" s="25">
        <f t="shared" si="23"/>
        <v>0.17071457142857177</v>
      </c>
      <c r="O30" s="25">
        <f t="shared" si="9"/>
        <v>0.70292811225420582</v>
      </c>
      <c r="P30" s="25">
        <f t="shared" si="10"/>
        <v>41.277615138064959</v>
      </c>
      <c r="Q30" s="25">
        <f t="shared" si="0"/>
        <v>0.67000200000000376</v>
      </c>
      <c r="R30" s="25">
        <f t="shared" si="5"/>
        <v>0.76500092857142932</v>
      </c>
      <c r="S30" s="25">
        <f t="shared" si="6"/>
        <v>62.612499916666671</v>
      </c>
      <c r="T30" s="20">
        <v>62.507659420452633</v>
      </c>
      <c r="U30" s="20">
        <v>0.15362365740185169</v>
      </c>
      <c r="V30" s="20">
        <v>0.11856290467875616</v>
      </c>
      <c r="W30" s="20">
        <v>3.5060752723095528E-2</v>
      </c>
    </row>
    <row r="31" spans="1:23" x14ac:dyDescent="0.35">
      <c r="A31" s="26">
        <v>42753</v>
      </c>
      <c r="B31" s="25">
        <v>62.669998</v>
      </c>
      <c r="C31" s="25">
        <v>62.700001</v>
      </c>
      <c r="D31" s="25">
        <v>62.119999</v>
      </c>
      <c r="E31" s="25">
        <v>62.5</v>
      </c>
      <c r="F31" s="25">
        <v>19670100</v>
      </c>
      <c r="G31" s="25">
        <v>61.134940999999998</v>
      </c>
      <c r="H31" s="19">
        <f t="shared" si="1"/>
        <v>-4.7979047328215957E-4</v>
      </c>
      <c r="I31" s="27">
        <f t="shared" si="7"/>
        <v>9.7597029966986187E-2</v>
      </c>
      <c r="J31" s="25">
        <f t="shared" si="2"/>
        <v>-2.9998999999996556E-2</v>
      </c>
      <c r="K31" s="25">
        <f t="shared" si="3"/>
        <v>0</v>
      </c>
      <c r="L31" s="25">
        <f t="shared" si="4"/>
        <v>2.9998999999996556E-2</v>
      </c>
      <c r="M31" s="25">
        <f t="shared" ref="M31:N31" si="24">AVERAGE(K18:K31)</f>
        <v>0.1171431428571432</v>
      </c>
      <c r="N31" s="25">
        <f t="shared" si="24"/>
        <v>0.17285735714285724</v>
      </c>
      <c r="O31" s="25">
        <f t="shared" si="9"/>
        <v>0.67768676319822896</v>
      </c>
      <c r="P31" s="25">
        <f t="shared" si="10"/>
        <v>40.39411754708803</v>
      </c>
      <c r="Q31" s="25">
        <f t="shared" si="0"/>
        <v>0.58000200000000035</v>
      </c>
      <c r="R31" s="25">
        <f t="shared" si="5"/>
        <v>0.74500100000000147</v>
      </c>
      <c r="S31" s="25">
        <f t="shared" si="6"/>
        <v>62.579166416666659</v>
      </c>
      <c r="T31" s="20">
        <v>62.507092055974667</v>
      </c>
      <c r="U31" s="20">
        <v>0.12937824067144277</v>
      </c>
      <c r="V31" s="20">
        <v>0.12072597187729349</v>
      </c>
      <c r="W31" s="20">
        <v>8.6522687941492787E-3</v>
      </c>
    </row>
    <row r="32" spans="1:23" x14ac:dyDescent="0.35">
      <c r="A32" s="26">
        <v>42754</v>
      </c>
      <c r="B32" s="25">
        <v>62.240001999999997</v>
      </c>
      <c r="C32" s="25">
        <v>62.98</v>
      </c>
      <c r="D32" s="25">
        <v>62.200001</v>
      </c>
      <c r="E32" s="25">
        <v>62.299999</v>
      </c>
      <c r="F32" s="25">
        <v>18451700</v>
      </c>
      <c r="G32" s="25">
        <v>60.939304</v>
      </c>
      <c r="H32" s="19">
        <f t="shared" si="1"/>
        <v>-3.205216095962457E-3</v>
      </c>
      <c r="I32" s="27">
        <f t="shared" si="7"/>
        <v>9.6748928131248552E-2</v>
      </c>
      <c r="J32" s="25">
        <f t="shared" si="2"/>
        <v>-0.20000100000000032</v>
      </c>
      <c r="K32" s="25">
        <f t="shared" si="3"/>
        <v>0</v>
      </c>
      <c r="L32" s="25">
        <f t="shared" si="4"/>
        <v>0.20000100000000032</v>
      </c>
      <c r="M32" s="25">
        <f t="shared" ref="M32:N32" si="25">AVERAGE(K19:K32)</f>
        <v>0.1171431428571432</v>
      </c>
      <c r="N32" s="25">
        <f t="shared" si="25"/>
        <v>0.16642907142857158</v>
      </c>
      <c r="O32" s="25">
        <f t="shared" si="9"/>
        <v>0.70386226307474753</v>
      </c>
      <c r="P32" s="25">
        <f t="shared" si="10"/>
        <v>41.309809972818762</v>
      </c>
      <c r="Q32" s="25">
        <f t="shared" si="0"/>
        <v>0.77999899999999656</v>
      </c>
      <c r="R32" s="25">
        <f t="shared" si="5"/>
        <v>0.76000092857142987</v>
      </c>
      <c r="S32" s="25">
        <f t="shared" si="6"/>
        <v>62.592499750000002</v>
      </c>
      <c r="T32" s="20">
        <v>62.491751829606173</v>
      </c>
      <c r="U32" s="20">
        <v>9.2953652171303247E-2</v>
      </c>
      <c r="V32" s="20">
        <v>0.11517150793609546</v>
      </c>
      <c r="W32" s="20">
        <v>-2.221785576479221E-2</v>
      </c>
    </row>
    <row r="33" spans="1:23" x14ac:dyDescent="0.35">
      <c r="A33" s="26">
        <v>42755</v>
      </c>
      <c r="B33" s="25">
        <v>62.669998</v>
      </c>
      <c r="C33" s="25">
        <v>62.82</v>
      </c>
      <c r="D33" s="25">
        <v>62.369999</v>
      </c>
      <c r="E33" s="25">
        <v>62.740001999999997</v>
      </c>
      <c r="F33" s="25">
        <v>30213500</v>
      </c>
      <c r="G33" s="25">
        <v>61.369694000000003</v>
      </c>
      <c r="H33" s="19">
        <f t="shared" si="1"/>
        <v>7.0377778165530919E-3</v>
      </c>
      <c r="I33" s="27">
        <f t="shared" si="7"/>
        <v>0.10217561976634448</v>
      </c>
      <c r="J33" s="25">
        <f t="shared" si="2"/>
        <v>0.44000299999999726</v>
      </c>
      <c r="K33" s="25">
        <f t="shared" si="3"/>
        <v>0.44000299999999726</v>
      </c>
      <c r="L33" s="25">
        <f t="shared" si="4"/>
        <v>0</v>
      </c>
      <c r="M33" s="25">
        <f t="shared" ref="M33:N33" si="26">AVERAGE(K20:K33)</f>
        <v>0.1485719285714287</v>
      </c>
      <c r="N33" s="25">
        <f t="shared" si="26"/>
        <v>0.16000050000000041</v>
      </c>
      <c r="O33" s="25">
        <f t="shared" si="9"/>
        <v>0.92857165178501522</v>
      </c>
      <c r="P33" s="25">
        <f t="shared" si="10"/>
        <v>48.1481541495004</v>
      </c>
      <c r="Q33" s="25">
        <f t="shared" si="0"/>
        <v>0.45000100000000032</v>
      </c>
      <c r="R33" s="25">
        <f t="shared" si="5"/>
        <v>0.7585723571428582</v>
      </c>
      <c r="S33" s="25">
        <f t="shared" si="6"/>
        <v>62.60583308333333</v>
      </c>
      <c r="T33" s="20">
        <v>62.510140731116827</v>
      </c>
      <c r="U33" s="20">
        <v>9.8456522694881698E-2</v>
      </c>
      <c r="V33" s="20">
        <v>0.11182851088785271</v>
      </c>
      <c r="W33" s="20">
        <v>-1.3371988192971015E-2</v>
      </c>
    </row>
    <row r="34" spans="1:23" x14ac:dyDescent="0.35">
      <c r="A34" s="26">
        <v>42758</v>
      </c>
      <c r="B34" s="25">
        <v>62.700001</v>
      </c>
      <c r="C34" s="25">
        <v>63.119999</v>
      </c>
      <c r="D34" s="25">
        <v>62.57</v>
      </c>
      <c r="E34" s="25">
        <v>62.959999000000003</v>
      </c>
      <c r="F34" s="25">
        <v>23097600</v>
      </c>
      <c r="G34" s="25">
        <v>61.584887999999999</v>
      </c>
      <c r="H34" s="19">
        <f t="shared" si="1"/>
        <v>3.5003855281385467E-3</v>
      </c>
      <c r="I34" s="27">
        <f t="shared" si="7"/>
        <v>8.70847047822257E-2</v>
      </c>
      <c r="J34" s="25">
        <f t="shared" si="2"/>
        <v>0.21999700000000644</v>
      </c>
      <c r="K34" s="25">
        <f t="shared" si="3"/>
        <v>0.21999700000000644</v>
      </c>
      <c r="L34" s="25">
        <f t="shared" si="4"/>
        <v>0</v>
      </c>
      <c r="M34" s="25">
        <f t="shared" ref="M34:N34" si="27">AVERAGE(K21:K34)</f>
        <v>0.1642860000000006</v>
      </c>
      <c r="N34" s="25">
        <f t="shared" si="27"/>
        <v>0.105714571428572</v>
      </c>
      <c r="O34" s="25">
        <f t="shared" si="9"/>
        <v>1.554052556614709</v>
      </c>
      <c r="P34" s="25">
        <f t="shared" si="10"/>
        <v>60.846537890925056</v>
      </c>
      <c r="Q34" s="25">
        <f t="shared" si="0"/>
        <v>0.54999899999999968</v>
      </c>
      <c r="R34" s="25">
        <f t="shared" si="5"/>
        <v>0.72928635714285817</v>
      </c>
      <c r="S34" s="25">
        <f t="shared" si="6"/>
        <v>62.66083308333333</v>
      </c>
      <c r="T34" s="20">
        <v>62.543463565848917</v>
      </c>
      <c r="U34" s="20">
        <v>0.11919549506868066</v>
      </c>
      <c r="V34" s="20">
        <v>0.1133019077240183</v>
      </c>
      <c r="W34" s="20">
        <v>5.8935873446623599E-3</v>
      </c>
    </row>
    <row r="35" spans="1:23" x14ac:dyDescent="0.35">
      <c r="A35" s="26">
        <v>42759</v>
      </c>
      <c r="B35" s="25">
        <v>63.200001</v>
      </c>
      <c r="C35" s="25">
        <v>63.740001999999997</v>
      </c>
      <c r="D35" s="25">
        <v>62.939999</v>
      </c>
      <c r="E35" s="25">
        <v>63.52</v>
      </c>
      <c r="F35" s="25">
        <v>24672900</v>
      </c>
      <c r="G35" s="25">
        <v>62.132660000000001</v>
      </c>
      <c r="H35" s="19">
        <f t="shared" si="1"/>
        <v>8.8552608476612747E-3</v>
      </c>
      <c r="I35" s="27">
        <f t="shared" si="7"/>
        <v>8.9827097295076749E-2</v>
      </c>
      <c r="J35" s="25">
        <f t="shared" si="2"/>
        <v>0.56000099999999975</v>
      </c>
      <c r="K35" s="25">
        <f t="shared" si="3"/>
        <v>0.56000099999999975</v>
      </c>
      <c r="L35" s="25">
        <f t="shared" si="4"/>
        <v>0</v>
      </c>
      <c r="M35" s="25">
        <f t="shared" ref="M35:N35" si="28">AVERAGE(K22:K35)</f>
        <v>0.17285728571428649</v>
      </c>
      <c r="N35" s="25">
        <f t="shared" si="28"/>
        <v>0.105714571428572</v>
      </c>
      <c r="O35" s="25">
        <f t="shared" si="9"/>
        <v>1.6351320672106275</v>
      </c>
      <c r="P35" s="25">
        <f t="shared" si="10"/>
        <v>62.051237869890436</v>
      </c>
      <c r="Q35" s="25">
        <f t="shared" si="0"/>
        <v>0.80000299999999669</v>
      </c>
      <c r="R35" s="25">
        <f t="shared" si="5"/>
        <v>0.73571521428571474</v>
      </c>
      <c r="S35" s="25">
        <f t="shared" si="6"/>
        <v>62.762499833333329</v>
      </c>
      <c r="T35" s="20">
        <v>62.615799598008259</v>
      </c>
      <c r="U35" s="20">
        <v>0.17875806892201496</v>
      </c>
      <c r="V35" s="20">
        <v>0.12639313996361765</v>
      </c>
      <c r="W35" s="20">
        <v>5.2364928958397311E-2</v>
      </c>
    </row>
    <row r="36" spans="1:23" x14ac:dyDescent="0.35">
      <c r="A36" s="26">
        <v>42760</v>
      </c>
      <c r="B36" s="25">
        <v>63.950001</v>
      </c>
      <c r="C36" s="25">
        <v>64.099997999999999</v>
      </c>
      <c r="D36" s="25">
        <v>63.450001</v>
      </c>
      <c r="E36" s="25">
        <v>63.68</v>
      </c>
      <c r="F36" s="25">
        <v>23672700</v>
      </c>
      <c r="G36" s="25">
        <v>62.289161999999997</v>
      </c>
      <c r="H36" s="19">
        <f t="shared" si="1"/>
        <v>2.5156693580076208E-3</v>
      </c>
      <c r="I36" s="27">
        <f t="shared" si="7"/>
        <v>8.6283913184281552E-2</v>
      </c>
      <c r="J36" s="25">
        <f t="shared" si="2"/>
        <v>0.15999999999999659</v>
      </c>
      <c r="K36" s="25">
        <f t="shared" si="3"/>
        <v>0.15999999999999659</v>
      </c>
      <c r="L36" s="25">
        <f t="shared" si="4"/>
        <v>0</v>
      </c>
      <c r="M36" s="25">
        <f t="shared" ref="M36:N36" si="29">AVERAGE(K23:K36)</f>
        <v>0.18428585714285767</v>
      </c>
      <c r="N36" s="25">
        <f t="shared" si="29"/>
        <v>8.5714357142857675E-2</v>
      </c>
      <c r="O36" s="25">
        <f t="shared" si="9"/>
        <v>2.149999875000097</v>
      </c>
      <c r="P36" s="25">
        <f t="shared" si="10"/>
        <v>68.253966994206024</v>
      </c>
      <c r="Q36" s="25">
        <f t="shared" si="0"/>
        <v>0.64999699999999905</v>
      </c>
      <c r="R36" s="25">
        <f t="shared" si="5"/>
        <v>0.7371435000000004</v>
      </c>
      <c r="S36" s="25">
        <f t="shared" si="6"/>
        <v>62.832499833333323</v>
      </c>
      <c r="T36" s="20">
        <v>62.694629257415059</v>
      </c>
      <c r="U36" s="20">
        <v>0.23615030691055949</v>
      </c>
      <c r="V36" s="20">
        <v>0.14834457335300602</v>
      </c>
      <c r="W36" s="20">
        <v>8.7805733557553473E-2</v>
      </c>
    </row>
    <row r="37" spans="1:23" x14ac:dyDescent="0.35">
      <c r="A37" s="26">
        <v>42761</v>
      </c>
      <c r="B37" s="25">
        <v>64.120002999999997</v>
      </c>
      <c r="C37" s="25">
        <v>64.540001000000004</v>
      </c>
      <c r="D37" s="25">
        <v>63.549999</v>
      </c>
      <c r="E37" s="25">
        <v>64.269997000000004</v>
      </c>
      <c r="F37" s="25">
        <v>43554600</v>
      </c>
      <c r="G37" s="25">
        <v>62.866275999999999</v>
      </c>
      <c r="H37" s="19">
        <f t="shared" si="1"/>
        <v>9.2224213291733394E-3</v>
      </c>
      <c r="I37" s="27">
        <f t="shared" si="7"/>
        <v>9.1740569239784603E-2</v>
      </c>
      <c r="J37" s="25">
        <f t="shared" si="2"/>
        <v>0.58999700000000388</v>
      </c>
      <c r="K37" s="25">
        <f t="shared" si="3"/>
        <v>0.58999700000000388</v>
      </c>
      <c r="L37" s="25">
        <f t="shared" si="4"/>
        <v>0</v>
      </c>
      <c r="M37" s="25">
        <f t="shared" ref="M37:N37" si="30">AVERAGE(K24:K37)</f>
        <v>0.22642850000000081</v>
      </c>
      <c r="N37" s="25">
        <f t="shared" si="30"/>
        <v>8.5714357142857675E-2</v>
      </c>
      <c r="O37" s="25">
        <f t="shared" si="9"/>
        <v>2.6416636319469666</v>
      </c>
      <c r="P37" s="25">
        <f t="shared" si="10"/>
        <v>72.540022883295137</v>
      </c>
      <c r="Q37" s="25">
        <f t="shared" si="0"/>
        <v>0.99000200000000405</v>
      </c>
      <c r="R37" s="25">
        <f t="shared" si="5"/>
        <v>0.76285785714285781</v>
      </c>
      <c r="S37" s="25">
        <f t="shared" si="6"/>
        <v>62.968332999999994</v>
      </c>
      <c r="T37" s="20">
        <v>62.811323164273205</v>
      </c>
      <c r="U37" s="20">
        <v>0.32548985169462696</v>
      </c>
      <c r="V37" s="20">
        <v>0.18377362902133021</v>
      </c>
      <c r="W37" s="20">
        <v>0.14171622267329675</v>
      </c>
    </row>
    <row r="38" spans="1:23" x14ac:dyDescent="0.35">
      <c r="A38" s="26">
        <v>42762</v>
      </c>
      <c r="B38" s="25">
        <v>65.389999000000003</v>
      </c>
      <c r="C38" s="25">
        <v>65.910004000000001</v>
      </c>
      <c r="D38" s="25">
        <v>64.889999000000003</v>
      </c>
      <c r="E38" s="25">
        <v>65.779999000000004</v>
      </c>
      <c r="F38" s="25">
        <v>44818000</v>
      </c>
      <c r="G38" s="25">
        <v>64.343299999999999</v>
      </c>
      <c r="H38" s="19">
        <f t="shared" si="1"/>
        <v>2.3222943215380595E-2</v>
      </c>
      <c r="I38" s="27">
        <f t="shared" si="7"/>
        <v>0.12599144625565928</v>
      </c>
      <c r="J38" s="25">
        <f t="shared" si="2"/>
        <v>1.5100020000000001</v>
      </c>
      <c r="K38" s="25">
        <f t="shared" si="3"/>
        <v>1.5100020000000001</v>
      </c>
      <c r="L38" s="25">
        <f t="shared" si="4"/>
        <v>0</v>
      </c>
      <c r="M38" s="25">
        <f t="shared" ref="M38:N38" si="31">AVERAGE(K25:K38)</f>
        <v>0.29571428571428626</v>
      </c>
      <c r="N38" s="25">
        <f t="shared" si="31"/>
        <v>8.5714357142857675E-2</v>
      </c>
      <c r="O38" s="25">
        <f t="shared" si="9"/>
        <v>3.4499971250023806</v>
      </c>
      <c r="P38" s="25">
        <f t="shared" si="10"/>
        <v>77.528075369274205</v>
      </c>
      <c r="Q38" s="25">
        <f t="shared" si="0"/>
        <v>1.0200049999999976</v>
      </c>
      <c r="R38" s="25">
        <f t="shared" si="5"/>
        <v>0.7564295714285717</v>
      </c>
      <c r="S38" s="25">
        <f t="shared" si="6"/>
        <v>63.231666333333322</v>
      </c>
      <c r="T38" s="20">
        <v>63.031225078030744</v>
      </c>
      <c r="U38" s="20">
        <v>0.51223193548050006</v>
      </c>
      <c r="V38" s="20">
        <v>0.2494652903131642</v>
      </c>
      <c r="W38" s="20">
        <v>0.26276664516733583</v>
      </c>
    </row>
    <row r="39" spans="1:23" x14ac:dyDescent="0.35">
      <c r="A39" s="26">
        <v>42765</v>
      </c>
      <c r="B39" s="25">
        <v>65.690002000000007</v>
      </c>
      <c r="C39" s="25">
        <v>65.790001000000004</v>
      </c>
      <c r="D39" s="25">
        <v>64.800003000000004</v>
      </c>
      <c r="E39" s="25">
        <v>65.129997000000003</v>
      </c>
      <c r="F39" s="25">
        <v>31651400</v>
      </c>
      <c r="G39" s="25">
        <v>63.707489000000002</v>
      </c>
      <c r="H39" s="19">
        <f t="shared" si="1"/>
        <v>-9.9306881306635997E-3</v>
      </c>
      <c r="I39" s="27">
        <f t="shared" si="7"/>
        <v>0.13557062114041438</v>
      </c>
      <c r="J39" s="25">
        <f t="shared" si="2"/>
        <v>-0.65000200000000063</v>
      </c>
      <c r="K39" s="25">
        <f t="shared" si="3"/>
        <v>0</v>
      </c>
      <c r="L39" s="25">
        <f t="shared" si="4"/>
        <v>0.65000200000000063</v>
      </c>
      <c r="M39" s="25">
        <f t="shared" ref="M39:N39" si="32">AVERAGE(K26:K39)</f>
        <v>0.29571428571428626</v>
      </c>
      <c r="N39" s="25">
        <f t="shared" si="32"/>
        <v>0.11785728571428626</v>
      </c>
      <c r="O39" s="25">
        <f t="shared" si="9"/>
        <v>2.5090878677722745</v>
      </c>
      <c r="P39" s="25">
        <f t="shared" si="10"/>
        <v>71.502565974933972</v>
      </c>
      <c r="Q39" s="25">
        <f t="shared" si="0"/>
        <v>0.98999799999999993</v>
      </c>
      <c r="R39" s="25">
        <f t="shared" si="5"/>
        <v>0.78857221428571422</v>
      </c>
      <c r="S39" s="25">
        <f t="shared" si="6"/>
        <v>63.393332833333325</v>
      </c>
      <c r="T39" s="20">
        <v>63.186689664843286</v>
      </c>
      <c r="U39" s="20">
        <v>0.60085042351238371</v>
      </c>
      <c r="V39" s="20">
        <v>0.31974231695300814</v>
      </c>
      <c r="W39" s="20">
        <v>0.28110810655937557</v>
      </c>
    </row>
    <row r="40" spans="1:23" x14ac:dyDescent="0.35">
      <c r="A40" s="26">
        <v>42766</v>
      </c>
      <c r="B40" s="25">
        <v>64.860000999999997</v>
      </c>
      <c r="C40" s="25">
        <v>65.150002000000001</v>
      </c>
      <c r="D40" s="25">
        <v>64.260002</v>
      </c>
      <c r="E40" s="25">
        <v>64.650002000000001</v>
      </c>
      <c r="F40" s="25">
        <v>25270500</v>
      </c>
      <c r="G40" s="25">
        <v>63.23798</v>
      </c>
      <c r="H40" s="19">
        <f t="shared" si="1"/>
        <v>-7.3970523645486798E-3</v>
      </c>
      <c r="I40" s="27">
        <f t="shared" si="7"/>
        <v>0.14188985684599292</v>
      </c>
      <c r="J40" s="25">
        <f t="shared" si="2"/>
        <v>-0.47999500000000239</v>
      </c>
      <c r="K40" s="25">
        <f t="shared" si="3"/>
        <v>0</v>
      </c>
      <c r="L40" s="25">
        <f t="shared" si="4"/>
        <v>0.47999500000000239</v>
      </c>
      <c r="M40" s="25">
        <f t="shared" ref="M40:N40" si="33">AVERAGE(K27:K40)</f>
        <v>0.29571428571428626</v>
      </c>
      <c r="N40" s="25">
        <f t="shared" si="33"/>
        <v>0.15071407142857193</v>
      </c>
      <c r="O40" s="25">
        <f t="shared" si="9"/>
        <v>1.9620880977555863</v>
      </c>
      <c r="P40" s="25">
        <f t="shared" si="10"/>
        <v>66.240031795215231</v>
      </c>
      <c r="Q40" s="25">
        <f t="shared" si="0"/>
        <v>0.89000000000000057</v>
      </c>
      <c r="R40" s="25">
        <f t="shared" si="5"/>
        <v>0.79571499999999973</v>
      </c>
      <c r="S40" s="25">
        <f t="shared" si="6"/>
        <v>63.56333291666666</v>
      </c>
      <c r="T40" s="20">
        <v>63.295083171151191</v>
      </c>
      <c r="U40" s="20">
        <v>0.62514336514976776</v>
      </c>
      <c r="V40" s="20">
        <v>0.38082252659236004</v>
      </c>
      <c r="W40" s="20">
        <v>0.24432083855740772</v>
      </c>
    </row>
    <row r="41" spans="1:23" x14ac:dyDescent="0.35">
      <c r="A41" s="26">
        <v>42767</v>
      </c>
      <c r="B41" s="25">
        <v>64.360000999999997</v>
      </c>
      <c r="C41" s="25">
        <v>64.620002999999997</v>
      </c>
      <c r="D41" s="25">
        <v>63.470001000000003</v>
      </c>
      <c r="E41" s="25">
        <v>63.580002</v>
      </c>
      <c r="F41" s="25">
        <v>39671500</v>
      </c>
      <c r="G41" s="25">
        <v>62.191349000000002</v>
      </c>
      <c r="H41" s="19">
        <f t="shared" si="1"/>
        <v>-1.6689163551312579E-2</v>
      </c>
      <c r="I41" s="27">
        <f t="shared" si="7"/>
        <v>0.15905073040912621</v>
      </c>
      <c r="J41" s="25">
        <f t="shared" si="2"/>
        <v>-1.0700000000000003</v>
      </c>
      <c r="K41" s="25">
        <f t="shared" si="3"/>
        <v>0</v>
      </c>
      <c r="L41" s="25">
        <f t="shared" si="4"/>
        <v>1.0700000000000003</v>
      </c>
      <c r="M41" s="25">
        <f t="shared" ref="M41:N41" si="34">AVERAGE(K28:K41)</f>
        <v>0.2550000000000005</v>
      </c>
      <c r="N41" s="25">
        <f t="shared" si="34"/>
        <v>0.22714264285714339</v>
      </c>
      <c r="O41" s="25">
        <f t="shared" si="9"/>
        <v>1.1226425685307246</v>
      </c>
      <c r="P41" s="25">
        <f t="shared" si="10"/>
        <v>52.888912395072168</v>
      </c>
      <c r="Q41" s="25">
        <f t="shared" si="0"/>
        <v>1.1500019999999935</v>
      </c>
      <c r="R41" s="25">
        <f t="shared" si="5"/>
        <v>0.82071514285714231</v>
      </c>
      <c r="S41" s="25">
        <f t="shared" si="6"/>
        <v>63.636666333333331</v>
      </c>
      <c r="T41" s="20">
        <v>63.316188269584437</v>
      </c>
      <c r="U41" s="20">
        <v>0.55169603036252823</v>
      </c>
      <c r="V41" s="20">
        <v>0.41499722734639372</v>
      </c>
      <c r="W41" s="20">
        <v>0.13669880301613452</v>
      </c>
    </row>
    <row r="42" spans="1:23" x14ac:dyDescent="0.35">
      <c r="A42" s="26">
        <v>42768</v>
      </c>
      <c r="B42" s="25">
        <v>63.25</v>
      </c>
      <c r="C42" s="25">
        <v>63.41</v>
      </c>
      <c r="D42" s="25">
        <v>62.75</v>
      </c>
      <c r="E42" s="25">
        <v>63.169998</v>
      </c>
      <c r="F42" s="25">
        <v>45827000</v>
      </c>
      <c r="G42" s="25">
        <v>61.790301999999997</v>
      </c>
      <c r="H42" s="19">
        <f t="shared" si="1"/>
        <v>-6.469479887629615E-3</v>
      </c>
      <c r="I42" s="27">
        <f t="shared" si="7"/>
        <v>0.15621414702177516</v>
      </c>
      <c r="J42" s="25">
        <f t="shared" si="2"/>
        <v>-0.4100040000000007</v>
      </c>
      <c r="K42" s="25">
        <f t="shared" si="3"/>
        <v>0</v>
      </c>
      <c r="L42" s="25">
        <f t="shared" si="4"/>
        <v>0.4100040000000007</v>
      </c>
      <c r="M42" s="25">
        <f t="shared" ref="M42:N42" si="35">AVERAGE(K29:K42)</f>
        <v>0.2550000000000005</v>
      </c>
      <c r="N42" s="25">
        <f t="shared" si="35"/>
        <v>0.21500021428571461</v>
      </c>
      <c r="O42" s="25">
        <f t="shared" si="9"/>
        <v>1.1860453295229278</v>
      </c>
      <c r="P42" s="25">
        <f t="shared" si="10"/>
        <v>54.255294412479763</v>
      </c>
      <c r="Q42" s="25">
        <f t="shared" si="0"/>
        <v>0.65999999999999659</v>
      </c>
      <c r="R42" s="25">
        <f t="shared" si="5"/>
        <v>0.7642864999999992</v>
      </c>
      <c r="S42" s="25">
        <f t="shared" si="6"/>
        <v>63.689999583333332</v>
      </c>
      <c r="T42" s="20">
        <v>63.305359360726328</v>
      </c>
      <c r="U42" s="20">
        <v>0.45515781615186768</v>
      </c>
      <c r="V42" s="20">
        <v>0.42302934510748852</v>
      </c>
      <c r="W42" s="20">
        <v>3.2128471044379159E-2</v>
      </c>
    </row>
    <row r="43" spans="1:23" x14ac:dyDescent="0.35">
      <c r="A43" s="26">
        <v>42769</v>
      </c>
      <c r="B43" s="25">
        <v>63.5</v>
      </c>
      <c r="C43" s="25">
        <v>63.700001</v>
      </c>
      <c r="D43" s="25">
        <v>63.07</v>
      </c>
      <c r="E43" s="25">
        <v>63.68</v>
      </c>
      <c r="F43" s="25">
        <v>30301800</v>
      </c>
      <c r="G43" s="25">
        <v>62.289161999999997</v>
      </c>
      <c r="H43" s="19">
        <f t="shared" si="1"/>
        <v>8.0410193896006728E-3</v>
      </c>
      <c r="I43" s="27">
        <f t="shared" si="7"/>
        <v>0.15935173621733345</v>
      </c>
      <c r="J43" s="25">
        <f t="shared" si="2"/>
        <v>0.51000200000000007</v>
      </c>
      <c r="K43" s="25">
        <f t="shared" si="3"/>
        <v>0.51000200000000007</v>
      </c>
      <c r="L43" s="25">
        <f t="shared" si="4"/>
        <v>0</v>
      </c>
      <c r="M43" s="25">
        <f t="shared" ref="M43:N43" si="36">AVERAGE(K30:K43)</f>
        <v>0.28500014285714315</v>
      </c>
      <c r="N43" s="25">
        <f t="shared" si="36"/>
        <v>0.21500021428571461</v>
      </c>
      <c r="O43" s="25">
        <f t="shared" si="9"/>
        <v>1.3255807386238478</v>
      </c>
      <c r="P43" s="25">
        <f t="shared" si="10"/>
        <v>56.999987857151517</v>
      </c>
      <c r="Q43" s="25">
        <f t="shared" si="0"/>
        <v>0.63000100000000003</v>
      </c>
      <c r="R43" s="25">
        <f t="shared" si="5"/>
        <v>0.7721436428571421</v>
      </c>
      <c r="S43" s="25">
        <f t="shared" si="6"/>
        <v>63.788332916666661</v>
      </c>
      <c r="T43" s="20">
        <v>63.333110519191045</v>
      </c>
      <c r="U43" s="20">
        <v>0.41501939970589063</v>
      </c>
      <c r="V43" s="20">
        <v>0.42142735602716896</v>
      </c>
      <c r="W43" s="20">
        <v>-6.4079563212783297E-3</v>
      </c>
    </row>
    <row r="44" spans="1:23" x14ac:dyDescent="0.35">
      <c r="A44" s="26">
        <v>42772</v>
      </c>
      <c r="B44" s="25">
        <v>63.5</v>
      </c>
      <c r="C44" s="25">
        <v>63.650002000000001</v>
      </c>
      <c r="D44" s="25">
        <v>63.139999000000003</v>
      </c>
      <c r="E44" s="25">
        <v>63.639999000000003</v>
      </c>
      <c r="F44" s="25">
        <v>19796400</v>
      </c>
      <c r="G44" s="25">
        <v>62.250042000000001</v>
      </c>
      <c r="H44" s="19">
        <f t="shared" si="1"/>
        <v>-6.282359294130991E-4</v>
      </c>
      <c r="I44" s="27">
        <f t="shared" si="7"/>
        <v>0.15862559011994742</v>
      </c>
      <c r="J44" s="25">
        <f t="shared" si="2"/>
        <v>-4.0000999999996623E-2</v>
      </c>
      <c r="K44" s="25">
        <f t="shared" si="3"/>
        <v>0</v>
      </c>
      <c r="L44" s="25">
        <f t="shared" si="4"/>
        <v>4.0000999999996623E-2</v>
      </c>
      <c r="M44" s="25">
        <f t="shared" ref="M44:N44" si="37">AVERAGE(K31:K44)</f>
        <v>0.28500014285714315</v>
      </c>
      <c r="N44" s="25">
        <f t="shared" si="37"/>
        <v>0.20571442857142838</v>
      </c>
      <c r="O44" s="25">
        <f t="shared" si="9"/>
        <v>1.3854163990163924</v>
      </c>
      <c r="P44" s="25">
        <f t="shared" si="10"/>
        <v>58.078597916391367</v>
      </c>
      <c r="Q44" s="25">
        <f t="shared" si="0"/>
        <v>0.51000299999999754</v>
      </c>
      <c r="R44" s="25">
        <f t="shared" si="5"/>
        <v>0.76071514285714159</v>
      </c>
      <c r="S44" s="25">
        <f t="shared" si="6"/>
        <v>63.899999583333333</v>
      </c>
      <c r="T44" s="20">
        <v>63.355842999250967</v>
      </c>
      <c r="U44" s="20">
        <v>0.37565139366182621</v>
      </c>
      <c r="V44" s="20">
        <v>0.41227216355410046</v>
      </c>
      <c r="W44" s="20">
        <v>-3.6620769892274252E-2</v>
      </c>
    </row>
    <row r="45" spans="1:23" x14ac:dyDescent="0.35">
      <c r="A45" s="26">
        <v>42773</v>
      </c>
      <c r="B45" s="25">
        <v>63.740001999999997</v>
      </c>
      <c r="C45" s="25">
        <v>63.779998999999997</v>
      </c>
      <c r="D45" s="25">
        <v>63.23</v>
      </c>
      <c r="E45" s="25">
        <v>63.43</v>
      </c>
      <c r="F45" s="25">
        <v>20277200</v>
      </c>
      <c r="G45" s="25">
        <v>62.044623999999999</v>
      </c>
      <c r="H45" s="19">
        <f t="shared" si="1"/>
        <v>-3.3053419528207423E-3</v>
      </c>
      <c r="I45" s="27">
        <f t="shared" si="7"/>
        <v>0.15967474483186131</v>
      </c>
      <c r="J45" s="25">
        <f t="shared" si="2"/>
        <v>-0.20999900000000338</v>
      </c>
      <c r="K45" s="25">
        <f t="shared" si="3"/>
        <v>0</v>
      </c>
      <c r="L45" s="25">
        <f t="shared" si="4"/>
        <v>0.20999900000000338</v>
      </c>
      <c r="M45" s="25">
        <f t="shared" ref="M45:N45" si="38">AVERAGE(K32:K45)</f>
        <v>0.28500014285714315</v>
      </c>
      <c r="N45" s="25">
        <f t="shared" si="38"/>
        <v>0.21857157142857173</v>
      </c>
      <c r="O45" s="25">
        <f t="shared" si="9"/>
        <v>1.3039213699860321</v>
      </c>
      <c r="P45" s="25">
        <f t="shared" si="10"/>
        <v>56.595740938586687</v>
      </c>
      <c r="Q45" s="25">
        <f t="shared" si="0"/>
        <v>0.54999899999999968</v>
      </c>
      <c r="R45" s="25">
        <f t="shared" si="5"/>
        <v>0.75857207142857008</v>
      </c>
      <c r="S45" s="25">
        <f t="shared" si="6"/>
        <v>63.957499416666657</v>
      </c>
      <c r="T45" s="20">
        <v>63.361336110417561</v>
      </c>
      <c r="U45" s="20">
        <v>0.32377452973941701</v>
      </c>
      <c r="V45" s="20">
        <v>0.39457263679116378</v>
      </c>
      <c r="W45" s="20">
        <v>-7.0798107051746773E-2</v>
      </c>
    </row>
    <row r="46" spans="1:23" x14ac:dyDescent="0.35">
      <c r="A46" s="26">
        <v>42774</v>
      </c>
      <c r="B46" s="25">
        <v>63.57</v>
      </c>
      <c r="C46" s="25">
        <v>63.810001</v>
      </c>
      <c r="D46" s="25">
        <v>63.220001000000003</v>
      </c>
      <c r="E46" s="25">
        <v>63.34</v>
      </c>
      <c r="F46" s="25">
        <v>18096400</v>
      </c>
      <c r="G46" s="25">
        <v>61.956592999999998</v>
      </c>
      <c r="H46" s="19">
        <f t="shared" si="1"/>
        <v>-1.4198411421854149E-3</v>
      </c>
      <c r="I46" s="27">
        <f t="shared" si="7"/>
        <v>0.15892928242306326</v>
      </c>
      <c r="J46" s="25">
        <f t="shared" si="2"/>
        <v>-8.9999999999996305E-2</v>
      </c>
      <c r="K46" s="25">
        <f t="shared" si="3"/>
        <v>0</v>
      </c>
      <c r="L46" s="25">
        <f t="shared" si="4"/>
        <v>8.9999999999996305E-2</v>
      </c>
      <c r="M46" s="25">
        <f t="shared" ref="M46:N46" si="39">AVERAGE(K33:K46)</f>
        <v>0.28500014285714315</v>
      </c>
      <c r="N46" s="25">
        <f t="shared" si="39"/>
        <v>0.21071435714285716</v>
      </c>
      <c r="O46" s="25">
        <f t="shared" si="9"/>
        <v>1.3525425923584444</v>
      </c>
      <c r="P46" s="25">
        <f t="shared" si="10"/>
        <v>57.492799354697709</v>
      </c>
      <c r="Q46" s="25">
        <f t="shared" si="0"/>
        <v>0.58999999999999631</v>
      </c>
      <c r="R46" s="25">
        <f t="shared" si="5"/>
        <v>0.74500071428571302</v>
      </c>
      <c r="S46" s="25">
        <f t="shared" si="6"/>
        <v>63.989166166666656</v>
      </c>
      <c r="T46" s="20">
        <v>63.35975565779404</v>
      </c>
      <c r="U46" s="20">
        <v>0.27226103772340338</v>
      </c>
      <c r="V46" s="20">
        <v>0.37011031697761171</v>
      </c>
      <c r="W46" s="20">
        <v>-9.7849279254208332E-2</v>
      </c>
    </row>
    <row r="47" spans="1:23" x14ac:dyDescent="0.35">
      <c r="A47" s="26">
        <v>42775</v>
      </c>
      <c r="B47" s="25">
        <v>63.52</v>
      </c>
      <c r="C47" s="25">
        <v>64.440002000000007</v>
      </c>
      <c r="D47" s="25">
        <v>63.32</v>
      </c>
      <c r="E47" s="25">
        <v>64.059997999999993</v>
      </c>
      <c r="F47" s="25">
        <v>22644400</v>
      </c>
      <c r="G47" s="25">
        <v>62.660862000000002</v>
      </c>
      <c r="H47" s="19">
        <f t="shared" si="1"/>
        <v>1.1303015263680188E-2</v>
      </c>
      <c r="I47" s="27">
        <f t="shared" si="7"/>
        <v>0.16295458859959677</v>
      </c>
      <c r="J47" s="25">
        <f t="shared" si="2"/>
        <v>0.7199979999999897</v>
      </c>
      <c r="K47" s="25">
        <f t="shared" si="3"/>
        <v>0.7199979999999897</v>
      </c>
      <c r="L47" s="25">
        <f t="shared" si="4"/>
        <v>0</v>
      </c>
      <c r="M47" s="25">
        <f t="shared" ref="M47:N47" si="40">AVERAGE(K34:K47)</f>
        <v>0.30499978571428549</v>
      </c>
      <c r="N47" s="25">
        <f t="shared" si="40"/>
        <v>0.21071435714285716</v>
      </c>
      <c r="O47" s="25">
        <f t="shared" si="9"/>
        <v>1.4474561195063989</v>
      </c>
      <c r="P47" s="25">
        <f t="shared" si="10"/>
        <v>59.141249069598061</v>
      </c>
      <c r="Q47" s="25">
        <f t="shared" si="0"/>
        <v>1.1200020000000066</v>
      </c>
      <c r="R47" s="25">
        <f t="shared" si="5"/>
        <v>0.79285792857142767</v>
      </c>
      <c r="S47" s="25">
        <f t="shared" si="6"/>
        <v>64.034165999999985</v>
      </c>
      <c r="T47" s="20">
        <v>63.411625460920405</v>
      </c>
      <c r="U47" s="20">
        <v>0.28623451220974516</v>
      </c>
      <c r="V47" s="20">
        <v>0.35333515602403842</v>
      </c>
      <c r="W47" s="20">
        <v>-6.7100643814293259E-2</v>
      </c>
    </row>
    <row r="48" spans="1:23" x14ac:dyDescent="0.35">
      <c r="A48" s="26">
        <v>42776</v>
      </c>
      <c r="B48" s="25">
        <v>64.25</v>
      </c>
      <c r="C48" s="25">
        <v>64.300003000000004</v>
      </c>
      <c r="D48" s="25">
        <v>63.98</v>
      </c>
      <c r="E48" s="25">
        <v>64</v>
      </c>
      <c r="F48" s="25">
        <v>18170700</v>
      </c>
      <c r="G48" s="25">
        <v>62.602173000000001</v>
      </c>
      <c r="H48" s="19">
        <f t="shared" si="1"/>
        <v>-9.3705224840523178E-4</v>
      </c>
      <c r="I48" s="27">
        <f t="shared" si="7"/>
        <v>0.16297942879228852</v>
      </c>
      <c r="J48" s="25">
        <f t="shared" si="2"/>
        <v>-5.9997999999993112E-2</v>
      </c>
      <c r="K48" s="25">
        <f t="shared" si="3"/>
        <v>0</v>
      </c>
      <c r="L48" s="25">
        <f t="shared" si="4"/>
        <v>5.9997999999993112E-2</v>
      </c>
      <c r="M48" s="25">
        <f t="shared" ref="M48:N48" si="41">AVERAGE(K35:K48)</f>
        <v>0.28928571428571359</v>
      </c>
      <c r="N48" s="25">
        <f t="shared" si="41"/>
        <v>0.21499992857142811</v>
      </c>
      <c r="O48" s="25">
        <f t="shared" si="9"/>
        <v>1.3455153971811948</v>
      </c>
      <c r="P48" s="25">
        <f t="shared" si="10"/>
        <v>57.36544721890187</v>
      </c>
      <c r="Q48" s="25">
        <f t="shared" si="0"/>
        <v>0.32000300000000692</v>
      </c>
      <c r="R48" s="25">
        <f t="shared" si="5"/>
        <v>0.77642964285714255</v>
      </c>
      <c r="S48" s="25">
        <f t="shared" si="6"/>
        <v>64.06083266666667</v>
      </c>
      <c r="T48" s="20">
        <v>63.455208760111489</v>
      </c>
      <c r="U48" s="20">
        <v>0.28913429407555924</v>
      </c>
      <c r="V48" s="20">
        <v>0.34049498363434261</v>
      </c>
      <c r="W48" s="20">
        <v>-5.1360689558783368E-2</v>
      </c>
    </row>
    <row r="49" spans="1:23" x14ac:dyDescent="0.35">
      <c r="A49" s="26">
        <v>42779</v>
      </c>
      <c r="B49" s="25">
        <v>64.239998</v>
      </c>
      <c r="C49" s="25">
        <v>64.860000999999997</v>
      </c>
      <c r="D49" s="25">
        <v>64.129997000000003</v>
      </c>
      <c r="E49" s="25">
        <v>64.720000999999996</v>
      </c>
      <c r="F49" s="25">
        <v>22920100</v>
      </c>
      <c r="G49" s="25">
        <v>63.306454000000002</v>
      </c>
      <c r="H49" s="19">
        <f t="shared" si="1"/>
        <v>1.1187292914769675E-2</v>
      </c>
      <c r="I49" s="27">
        <f t="shared" si="7"/>
        <v>0.16539345604581515</v>
      </c>
      <c r="J49" s="25">
        <f t="shared" si="2"/>
        <v>0.72000099999999634</v>
      </c>
      <c r="K49" s="25">
        <f t="shared" si="3"/>
        <v>0.72000099999999634</v>
      </c>
      <c r="L49" s="25">
        <f t="shared" si="4"/>
        <v>0</v>
      </c>
      <c r="M49" s="25">
        <f t="shared" ref="M49:N49" si="42">AVERAGE(K36:K49)</f>
        <v>0.30071428571428477</v>
      </c>
      <c r="N49" s="25">
        <f t="shared" si="42"/>
        <v>0.21499992857142811</v>
      </c>
      <c r="O49" s="25">
        <f t="shared" si="9"/>
        <v>1.3986715610204508</v>
      </c>
      <c r="P49" s="25">
        <f t="shared" si="10"/>
        <v>58.310257383692132</v>
      </c>
      <c r="Q49" s="25">
        <f t="shared" si="0"/>
        <v>0.73000399999999388</v>
      </c>
      <c r="R49" s="25">
        <f t="shared" si="5"/>
        <v>0.77142971428571372</v>
      </c>
      <c r="S49" s="25">
        <f t="shared" si="6"/>
        <v>64.098332999999997</v>
      </c>
      <c r="T49" s="20">
        <v>63.548897074177304</v>
      </c>
      <c r="U49" s="20">
        <v>0.34554720244250348</v>
      </c>
      <c r="V49" s="20">
        <v>0.34150542739597478</v>
      </c>
      <c r="W49" s="20">
        <v>4.041775046528695E-3</v>
      </c>
    </row>
    <row r="50" spans="1:23" x14ac:dyDescent="0.35">
      <c r="A50" s="26">
        <v>42780</v>
      </c>
      <c r="B50" s="25">
        <v>64.410004000000001</v>
      </c>
      <c r="C50" s="25">
        <v>64.720000999999996</v>
      </c>
      <c r="D50" s="25">
        <v>64.019997000000004</v>
      </c>
      <c r="E50" s="25">
        <v>64.569999999999993</v>
      </c>
      <c r="F50" s="25">
        <v>23065900</v>
      </c>
      <c r="G50" s="25">
        <v>63.542628999999998</v>
      </c>
      <c r="H50" s="19">
        <f t="shared" si="1"/>
        <v>3.7237206184930565E-3</v>
      </c>
      <c r="I50" s="27">
        <f t="shared" si="7"/>
        <v>0.16563959630163488</v>
      </c>
      <c r="J50" s="25">
        <f t="shared" si="2"/>
        <v>-0.15000100000000316</v>
      </c>
      <c r="K50" s="25">
        <f t="shared" si="3"/>
        <v>0</v>
      </c>
      <c r="L50" s="25">
        <f t="shared" si="4"/>
        <v>0.15000100000000316</v>
      </c>
      <c r="M50" s="25">
        <f t="shared" ref="M50:N50" si="43">AVERAGE(K37:K50)</f>
        <v>0.28928571428571359</v>
      </c>
      <c r="N50" s="25">
        <f t="shared" si="43"/>
        <v>0.22571428571428548</v>
      </c>
      <c r="O50" s="25">
        <f t="shared" si="9"/>
        <v>1.2816455696202513</v>
      </c>
      <c r="P50" s="25">
        <f t="shared" si="10"/>
        <v>56.171983356449346</v>
      </c>
      <c r="Q50" s="25">
        <f t="shared" si="0"/>
        <v>0.70000399999999274</v>
      </c>
      <c r="R50" s="25">
        <f t="shared" si="5"/>
        <v>0.7750016428571419</v>
      </c>
      <c r="S50" s="25">
        <f t="shared" si="6"/>
        <v>63.997499749999996</v>
      </c>
      <c r="T50" s="20">
        <v>63.624534327941952</v>
      </c>
      <c r="U50" s="20">
        <v>0.37384159842865472</v>
      </c>
      <c r="V50" s="20">
        <v>0.34797266160251078</v>
      </c>
      <c r="W50" s="20">
        <v>2.586893682614394E-2</v>
      </c>
    </row>
    <row r="51" spans="1:23" x14ac:dyDescent="0.35">
      <c r="A51" s="26">
        <v>42781</v>
      </c>
      <c r="B51" s="25">
        <v>64.5</v>
      </c>
      <c r="C51" s="25">
        <v>64.569999999999993</v>
      </c>
      <c r="D51" s="25">
        <v>64.160004000000001</v>
      </c>
      <c r="E51" s="25">
        <v>64.529999000000004</v>
      </c>
      <c r="F51" s="25">
        <v>17005200</v>
      </c>
      <c r="G51" s="25">
        <v>63.503269000000003</v>
      </c>
      <c r="H51" s="19">
        <f t="shared" si="1"/>
        <v>-6.1961860837527556E-4</v>
      </c>
      <c r="I51" s="27">
        <f t="shared" si="7"/>
        <v>0.16187677332101028</v>
      </c>
      <c r="J51" s="25">
        <f t="shared" si="2"/>
        <v>-4.0000999999989517E-2</v>
      </c>
      <c r="K51" s="25">
        <f t="shared" si="3"/>
        <v>0</v>
      </c>
      <c r="L51" s="25">
        <f t="shared" si="4"/>
        <v>4.0000999999989517E-2</v>
      </c>
      <c r="M51" s="25">
        <f t="shared" ref="M51:N51" si="44">AVERAGE(K38:K51)</f>
        <v>0.24714307142857045</v>
      </c>
      <c r="N51" s="25">
        <f t="shared" si="44"/>
        <v>0.22857149999999901</v>
      </c>
      <c r="O51" s="25">
        <f t="shared" si="9"/>
        <v>1.0812505996091879</v>
      </c>
      <c r="P51" s="25">
        <f t="shared" si="10"/>
        <v>51.951965794615148</v>
      </c>
      <c r="Q51" s="25">
        <f t="shared" si="0"/>
        <v>0.40999599999999248</v>
      </c>
      <c r="R51" s="25">
        <f t="shared" si="5"/>
        <v>0.73357264285714108</v>
      </c>
      <c r="S51" s="25">
        <f t="shared" si="6"/>
        <v>63.947499916666679</v>
      </c>
      <c r="T51" s="20">
        <v>63.691605785131436</v>
      </c>
      <c r="U51" s="20">
        <v>0.38855830641292499</v>
      </c>
      <c r="V51" s="20">
        <v>0.35608979056459361</v>
      </c>
      <c r="W51" s="20">
        <v>3.2468515848331381E-2</v>
      </c>
    </row>
    <row r="52" spans="1:23" x14ac:dyDescent="0.35">
      <c r="A52" s="26">
        <v>42782</v>
      </c>
      <c r="B52" s="25">
        <v>64.739998</v>
      </c>
      <c r="C52" s="25">
        <v>65.239998</v>
      </c>
      <c r="D52" s="25">
        <v>64.440002000000007</v>
      </c>
      <c r="E52" s="25">
        <v>64.519997000000004</v>
      </c>
      <c r="F52" s="25">
        <v>20546300</v>
      </c>
      <c r="G52" s="25">
        <v>63.493426999999997</v>
      </c>
      <c r="H52" s="19">
        <f t="shared" si="1"/>
        <v>-1.5499615863562031E-4</v>
      </c>
      <c r="I52" s="27">
        <f t="shared" si="7"/>
        <v>0.12508504691799685</v>
      </c>
      <c r="J52" s="25">
        <f t="shared" si="2"/>
        <v>-1.0002000000000066E-2</v>
      </c>
      <c r="K52" s="25">
        <f t="shared" si="3"/>
        <v>0</v>
      </c>
      <c r="L52" s="25">
        <f t="shared" si="4"/>
        <v>1.0002000000000066E-2</v>
      </c>
      <c r="M52" s="25">
        <f t="shared" ref="M52:N52" si="45">AVERAGE(K39:K52)</f>
        <v>0.13928578571428471</v>
      </c>
      <c r="N52" s="25">
        <f t="shared" si="45"/>
        <v>0.22928592857142757</v>
      </c>
      <c r="O52" s="25">
        <f t="shared" si="9"/>
        <v>0.60747637930556275</v>
      </c>
      <c r="P52" s="25">
        <f t="shared" si="10"/>
        <v>37.790687759156704</v>
      </c>
      <c r="Q52" s="25">
        <f t="shared" si="0"/>
        <v>0.79999599999999305</v>
      </c>
      <c r="R52" s="25">
        <f t="shared" si="5"/>
        <v>0.7178577142857121</v>
      </c>
      <c r="S52" s="25">
        <f t="shared" si="6"/>
        <v>63.936666166666669</v>
      </c>
      <c r="T52" s="20">
        <v>63.752968097343924</v>
      </c>
      <c r="U52" s="20">
        <v>0.39486259550130853</v>
      </c>
      <c r="V52" s="20">
        <v>0.36384435155193662</v>
      </c>
      <c r="W52" s="20">
        <v>3.1018243949371915E-2</v>
      </c>
    </row>
    <row r="53" spans="1:23" x14ac:dyDescent="0.35">
      <c r="A53" s="26">
        <v>42783</v>
      </c>
      <c r="B53" s="25">
        <v>64.470000999999996</v>
      </c>
      <c r="C53" s="25">
        <v>64.690002000000007</v>
      </c>
      <c r="D53" s="25">
        <v>64.300003000000004</v>
      </c>
      <c r="E53" s="25">
        <v>64.620002999999997</v>
      </c>
      <c r="F53" s="25">
        <v>21248800</v>
      </c>
      <c r="G53" s="25">
        <v>63.591839</v>
      </c>
      <c r="H53" s="19">
        <f t="shared" si="1"/>
        <v>1.548755772699546E-3</v>
      </c>
      <c r="I53" s="27">
        <f t="shared" si="7"/>
        <v>0.11841158912820554</v>
      </c>
      <c r="J53" s="25">
        <f t="shared" si="2"/>
        <v>0.10000599999999338</v>
      </c>
      <c r="K53" s="25">
        <f t="shared" si="3"/>
        <v>0.10000599999999338</v>
      </c>
      <c r="L53" s="25">
        <f t="shared" si="4"/>
        <v>0</v>
      </c>
      <c r="M53" s="25">
        <f t="shared" ref="M53:N53" si="46">AVERAGE(K40:K53)</f>
        <v>0.14642907142856995</v>
      </c>
      <c r="N53" s="25">
        <f t="shared" si="46"/>
        <v>0.18285721428571325</v>
      </c>
      <c r="O53" s="25">
        <f t="shared" si="9"/>
        <v>0.80078367156887476</v>
      </c>
      <c r="P53" s="25">
        <f t="shared" si="10"/>
        <v>44.468621312587636</v>
      </c>
      <c r="Q53" s="25">
        <f t="shared" si="0"/>
        <v>0.38999900000000309</v>
      </c>
      <c r="R53" s="25">
        <f t="shared" si="5"/>
        <v>0.6750006428571409</v>
      </c>
      <c r="S53" s="25">
        <f t="shared" si="6"/>
        <v>64.023332916666661</v>
      </c>
      <c r="T53" s="20">
        <v>63.81719290494808</v>
      </c>
      <c r="U53" s="20">
        <v>0.40327968130558389</v>
      </c>
      <c r="V53" s="20">
        <v>0.37173141750266608</v>
      </c>
      <c r="W53" s="20">
        <v>3.1548263802917809E-2</v>
      </c>
    </row>
    <row r="54" spans="1:23" x14ac:dyDescent="0.35">
      <c r="A54" s="26">
        <v>42787</v>
      </c>
      <c r="B54" s="25">
        <v>64.610000999999997</v>
      </c>
      <c r="C54" s="25">
        <v>64.949996999999996</v>
      </c>
      <c r="D54" s="25">
        <v>64.449996999999996</v>
      </c>
      <c r="E54" s="25">
        <v>64.489998</v>
      </c>
      <c r="F54" s="25">
        <v>20655900</v>
      </c>
      <c r="G54" s="25">
        <v>63.463904999999997</v>
      </c>
      <c r="H54" s="19">
        <f t="shared" si="1"/>
        <v>-2.01382541565822E-3</v>
      </c>
      <c r="I54" s="27">
        <f t="shared" si="7"/>
        <v>0.11413248448422138</v>
      </c>
      <c r="J54" s="25">
        <f t="shared" si="2"/>
        <v>-0.13000499999999704</v>
      </c>
      <c r="K54" s="25">
        <f t="shared" si="3"/>
        <v>0</v>
      </c>
      <c r="L54" s="25">
        <f t="shared" si="4"/>
        <v>0.13000499999999704</v>
      </c>
      <c r="M54" s="25">
        <f t="shared" ref="M54:N54" si="47">AVERAGE(K41:K54)</f>
        <v>0.14642907142856995</v>
      </c>
      <c r="N54" s="25">
        <f t="shared" si="47"/>
        <v>0.15785792857142716</v>
      </c>
      <c r="O54" s="25">
        <f t="shared" si="9"/>
        <v>0.92760036036019622</v>
      </c>
      <c r="P54" s="25">
        <f t="shared" si="10"/>
        <v>48.122026714441084</v>
      </c>
      <c r="Q54" s="25">
        <f t="shared" si="0"/>
        <v>0.5</v>
      </c>
      <c r="R54" s="25">
        <f t="shared" si="5"/>
        <v>0.64714349999999798</v>
      </c>
      <c r="S54" s="25">
        <f t="shared" si="6"/>
        <v>64.133332916666674</v>
      </c>
      <c r="T54" s="20">
        <v>63.86703031939637</v>
      </c>
      <c r="U54" s="20">
        <v>0.39490771512596012</v>
      </c>
      <c r="V54" s="20">
        <v>0.37636667702732496</v>
      </c>
      <c r="W54" s="20">
        <v>1.8541038098635165E-2</v>
      </c>
    </row>
    <row r="55" spans="1:23" x14ac:dyDescent="0.35">
      <c r="A55" s="26">
        <v>42788</v>
      </c>
      <c r="B55" s="25">
        <v>64.330001999999993</v>
      </c>
      <c r="C55" s="25">
        <v>64.389999000000003</v>
      </c>
      <c r="D55" s="25">
        <v>64.050003000000004</v>
      </c>
      <c r="E55" s="25">
        <v>64.360000999999997</v>
      </c>
      <c r="F55" s="25">
        <v>19292700</v>
      </c>
      <c r="G55" s="25">
        <v>63.335971999999998</v>
      </c>
      <c r="H55" s="19">
        <f t="shared" si="1"/>
        <v>-2.0178733045604956E-3</v>
      </c>
      <c r="I55" s="27">
        <f t="shared" si="7"/>
        <v>8.5223639223526118E-2</v>
      </c>
      <c r="J55" s="25">
        <f t="shared" si="2"/>
        <v>-0.12999700000000303</v>
      </c>
      <c r="K55" s="25">
        <f t="shared" si="3"/>
        <v>0</v>
      </c>
      <c r="L55" s="25">
        <f t="shared" si="4"/>
        <v>0.12999700000000303</v>
      </c>
      <c r="M55" s="25">
        <f t="shared" ref="M55:N55" si="48">AVERAGE(K42:K55)</f>
        <v>0.14642907142856995</v>
      </c>
      <c r="N55" s="25">
        <f t="shared" si="48"/>
        <v>9.0714857142855918E-2</v>
      </c>
      <c r="O55" s="25">
        <f t="shared" si="9"/>
        <v>1.61416857216648</v>
      </c>
      <c r="P55" s="25">
        <f t="shared" si="10"/>
        <v>61.746919818133428</v>
      </c>
      <c r="Q55" s="25">
        <f t="shared" si="0"/>
        <v>0.3399959999999993</v>
      </c>
      <c r="R55" s="25">
        <f t="shared" si="5"/>
        <v>0.58928592857142703</v>
      </c>
      <c r="S55" s="25">
        <f t="shared" si="6"/>
        <v>64.189999666666665</v>
      </c>
      <c r="T55" s="20">
        <v>63.903546666107744</v>
      </c>
      <c r="U55" s="20">
        <v>0.37347797848806863</v>
      </c>
      <c r="V55" s="20">
        <v>0.37578893731947371</v>
      </c>
      <c r="W55" s="20">
        <v>-2.3109588314050855E-3</v>
      </c>
    </row>
    <row r="56" spans="1:23" x14ac:dyDescent="0.35">
      <c r="A56" s="26">
        <v>42789</v>
      </c>
      <c r="B56" s="25">
        <v>64.419998000000007</v>
      </c>
      <c r="C56" s="25">
        <v>64.730002999999996</v>
      </c>
      <c r="D56" s="25">
        <v>64.190002000000007</v>
      </c>
      <c r="E56" s="25">
        <v>64.620002999999997</v>
      </c>
      <c r="F56" s="25">
        <v>20273100</v>
      </c>
      <c r="G56" s="25">
        <v>63.591839</v>
      </c>
      <c r="H56" s="19">
        <f t="shared" si="1"/>
        <v>4.0316987202188691E-3</v>
      </c>
      <c r="I56" s="27">
        <f t="shared" si="7"/>
        <v>7.7998664014684013E-2</v>
      </c>
      <c r="J56" s="25">
        <f t="shared" si="2"/>
        <v>0.26000200000000007</v>
      </c>
      <c r="K56" s="25">
        <f t="shared" si="3"/>
        <v>0.26000200000000007</v>
      </c>
      <c r="L56" s="25">
        <f t="shared" si="4"/>
        <v>0</v>
      </c>
      <c r="M56" s="25">
        <f t="shared" ref="M56:N56" si="49">AVERAGE(K43:K56)</f>
        <v>0.16500064285714139</v>
      </c>
      <c r="N56" s="25">
        <f t="shared" si="49"/>
        <v>6.1428857142855876E-2</v>
      </c>
      <c r="O56" s="25">
        <f t="shared" si="9"/>
        <v>2.6860444835140616</v>
      </c>
      <c r="P56" s="25">
        <f t="shared" si="10"/>
        <v>72.870647533622332</v>
      </c>
      <c r="Q56" s="25">
        <f t="shared" si="0"/>
        <v>0.54000099999998952</v>
      </c>
      <c r="R56" s="25">
        <f t="shared" si="5"/>
        <v>0.58071457142856941</v>
      </c>
      <c r="S56" s="25">
        <f t="shared" si="6"/>
        <v>64.271666666666661</v>
      </c>
      <c r="T56" s="20">
        <v>63.956617505655316</v>
      </c>
      <c r="U56" s="20">
        <v>0.3731730397719133</v>
      </c>
      <c r="V56" s="20">
        <v>0.37526575780996163</v>
      </c>
      <c r="W56" s="20">
        <v>-2.0927180380483357E-3</v>
      </c>
    </row>
    <row r="57" spans="1:23" x14ac:dyDescent="0.35">
      <c r="A57" s="26">
        <v>42790</v>
      </c>
      <c r="B57" s="25">
        <v>64.529999000000004</v>
      </c>
      <c r="C57" s="25">
        <v>64.800003000000004</v>
      </c>
      <c r="D57" s="25">
        <v>64.139999000000003</v>
      </c>
      <c r="E57" s="25">
        <v>64.620002999999997</v>
      </c>
      <c r="F57" s="25">
        <v>21796800</v>
      </c>
      <c r="G57" s="25">
        <v>63.591839</v>
      </c>
      <c r="H57" s="19">
        <f t="shared" si="1"/>
        <v>0</v>
      </c>
      <c r="I57" s="27">
        <f t="shared" si="7"/>
        <v>7.3354157635469069E-2</v>
      </c>
      <c r="J57" s="25">
        <f t="shared" si="2"/>
        <v>0</v>
      </c>
      <c r="K57" s="25">
        <f t="shared" si="3"/>
        <v>0</v>
      </c>
      <c r="L57" s="25">
        <f t="shared" si="4"/>
        <v>0</v>
      </c>
      <c r="M57" s="25">
        <f t="shared" ref="M57:N57" si="50">AVERAGE(K44:K57)</f>
        <v>0.1285719285714271</v>
      </c>
      <c r="N57" s="25">
        <f t="shared" si="50"/>
        <v>6.1428857142855876E-2</v>
      </c>
      <c r="O57" s="25">
        <f t="shared" si="9"/>
        <v>2.0930216603643896</v>
      </c>
      <c r="P57" s="25">
        <f t="shared" si="10"/>
        <v>67.669156255369074</v>
      </c>
      <c r="Q57" s="25">
        <f t="shared" si="0"/>
        <v>0.6600040000000007</v>
      </c>
      <c r="R57" s="25">
        <f t="shared" si="5"/>
        <v>0.58285764285714081</v>
      </c>
      <c r="S57" s="25">
        <f t="shared" si="6"/>
        <v>64.370833583333336</v>
      </c>
      <c r="T57" s="20">
        <v>64.00575717190307</v>
      </c>
      <c r="U57" s="20">
        <v>0.36868144345842779</v>
      </c>
      <c r="V57" s="20">
        <v>0.37394889493965489</v>
      </c>
      <c r="W57" s="20">
        <v>-5.2674514812270923E-3</v>
      </c>
    </row>
    <row r="58" spans="1:23" x14ac:dyDescent="0.35">
      <c r="A58" s="26">
        <v>42793</v>
      </c>
      <c r="B58" s="25">
        <v>64.540001000000004</v>
      </c>
      <c r="C58" s="25">
        <v>64.540001000000004</v>
      </c>
      <c r="D58" s="25">
        <v>64.050003000000004</v>
      </c>
      <c r="E58" s="25">
        <v>64.230002999999996</v>
      </c>
      <c r="F58" s="25">
        <v>15871500</v>
      </c>
      <c r="G58" s="25">
        <v>63.208046000000003</v>
      </c>
      <c r="H58" s="19">
        <f t="shared" si="1"/>
        <v>-6.0535413264570419E-3</v>
      </c>
      <c r="I58" s="27">
        <f t="shared" si="7"/>
        <v>7.9710375181986592E-2</v>
      </c>
      <c r="J58" s="25">
        <f t="shared" si="2"/>
        <v>-0.39000000000000057</v>
      </c>
      <c r="K58" s="25">
        <f t="shared" si="3"/>
        <v>0</v>
      </c>
      <c r="L58" s="25">
        <f t="shared" si="4"/>
        <v>0.39000000000000057</v>
      </c>
      <c r="M58" s="25">
        <f t="shared" ref="M58:N58" si="51">AVERAGE(K45:K58)</f>
        <v>0.1285719285714271</v>
      </c>
      <c r="N58" s="25">
        <f t="shared" si="51"/>
        <v>8.6428785714284723E-2</v>
      </c>
      <c r="O58" s="25">
        <f t="shared" si="9"/>
        <v>1.4876054026312333</v>
      </c>
      <c r="P58" s="25">
        <f t="shared" si="10"/>
        <v>59.800698336550383</v>
      </c>
      <c r="Q58" s="25">
        <f t="shared" si="0"/>
        <v>0.48999799999999993</v>
      </c>
      <c r="R58" s="25">
        <f t="shared" si="5"/>
        <v>0.58142871428571241</v>
      </c>
      <c r="S58" s="25">
        <f t="shared" si="6"/>
        <v>64.445000500000006</v>
      </c>
      <c r="T58" s="20">
        <v>64.022367973984316</v>
      </c>
      <c r="U58" s="20">
        <v>0.32984977747541677</v>
      </c>
      <c r="V58" s="20">
        <v>0.36512907144680729</v>
      </c>
      <c r="W58" s="20">
        <v>-3.5279293971390513E-2</v>
      </c>
    </row>
    <row r="59" spans="1:23" x14ac:dyDescent="0.35">
      <c r="A59" s="26">
        <v>42794</v>
      </c>
      <c r="B59" s="25">
        <v>64.080001999999993</v>
      </c>
      <c r="C59" s="25">
        <v>64.199996999999996</v>
      </c>
      <c r="D59" s="25">
        <v>63.759998000000003</v>
      </c>
      <c r="E59" s="25">
        <v>63.98</v>
      </c>
      <c r="F59" s="25">
        <v>23239800</v>
      </c>
      <c r="G59" s="25">
        <v>62.962017000000003</v>
      </c>
      <c r="H59" s="19">
        <f t="shared" si="1"/>
        <v>-3.8999633666794882E-3</v>
      </c>
      <c r="I59" s="27">
        <f t="shared" si="7"/>
        <v>8.038317327119146E-2</v>
      </c>
      <c r="J59" s="25">
        <f t="shared" si="2"/>
        <v>-0.25000299999999953</v>
      </c>
      <c r="K59" s="25">
        <f t="shared" si="3"/>
        <v>0</v>
      </c>
      <c r="L59" s="25">
        <f t="shared" si="4"/>
        <v>0.25000299999999953</v>
      </c>
      <c r="M59" s="25">
        <f t="shared" ref="M59:N59" si="52">AVERAGE(K46:K59)</f>
        <v>0.1285719285714271</v>
      </c>
      <c r="N59" s="25">
        <f t="shared" si="52"/>
        <v>8.9286214285713025E-2</v>
      </c>
      <c r="O59" s="25">
        <f t="shared" si="9"/>
        <v>1.4399975360138022</v>
      </c>
      <c r="P59" s="25">
        <f t="shared" si="10"/>
        <v>59.016352056088991</v>
      </c>
      <c r="Q59" s="25">
        <f t="shared" si="0"/>
        <v>0.43999899999999315</v>
      </c>
      <c r="R59" s="25">
        <f t="shared" si="5"/>
        <v>0.57357157142856907</v>
      </c>
      <c r="S59" s="25">
        <f t="shared" si="6"/>
        <v>64.438333999999998</v>
      </c>
      <c r="T59" s="20">
        <v>64.019229605541028</v>
      </c>
      <c r="U59" s="20">
        <v>0.27572387646335983</v>
      </c>
      <c r="V59" s="20">
        <v>0.34724803245011782</v>
      </c>
      <c r="W59" s="20">
        <v>-7.1524155986757987E-2</v>
      </c>
    </row>
    <row r="60" spans="1:23" x14ac:dyDescent="0.35">
      <c r="A60" s="26">
        <v>42795</v>
      </c>
      <c r="B60" s="25">
        <v>64.129997000000003</v>
      </c>
      <c r="C60" s="25">
        <v>64.989998</v>
      </c>
      <c r="D60" s="25">
        <v>64.019997000000004</v>
      </c>
      <c r="E60" s="25">
        <v>64.940002000000007</v>
      </c>
      <c r="F60" s="25">
        <v>26937500</v>
      </c>
      <c r="G60" s="25">
        <v>63.906753999999999</v>
      </c>
      <c r="H60" s="19">
        <f t="shared" si="1"/>
        <v>1.4893412389175856E-2</v>
      </c>
      <c r="I60" s="27">
        <f t="shared" si="7"/>
        <v>9.8440857154029546E-2</v>
      </c>
      <c r="J60" s="25">
        <f t="shared" si="2"/>
        <v>0.96000200000001001</v>
      </c>
      <c r="K60" s="25">
        <f t="shared" si="3"/>
        <v>0.96000200000001001</v>
      </c>
      <c r="L60" s="25">
        <f t="shared" si="4"/>
        <v>0</v>
      </c>
      <c r="M60" s="25">
        <f t="shared" ref="M60:N60" si="53">AVERAGE(K47:K60)</f>
        <v>0.19714349999999925</v>
      </c>
      <c r="N60" s="25">
        <f t="shared" si="53"/>
        <v>8.2857642857141853E-2</v>
      </c>
      <c r="O60" s="25">
        <f t="shared" si="9"/>
        <v>2.3793037455808652</v>
      </c>
      <c r="P60" s="25">
        <f t="shared" si="10"/>
        <v>70.408105477120671</v>
      </c>
      <c r="Q60" s="25">
        <f t="shared" si="0"/>
        <v>0.97000099999999634</v>
      </c>
      <c r="R60" s="25">
        <f t="shared" si="5"/>
        <v>0.60071449999999771</v>
      </c>
      <c r="S60" s="25">
        <f t="shared" si="6"/>
        <v>64.516667500000011</v>
      </c>
      <c r="T60" s="20">
        <v>64.087434968093547</v>
      </c>
      <c r="U60" s="20">
        <v>0.30675674744863102</v>
      </c>
      <c r="V60" s="20">
        <v>0.33914977544982045</v>
      </c>
      <c r="W60" s="20">
        <v>-3.2393028001189428E-2</v>
      </c>
    </row>
    <row r="61" spans="1:23" x14ac:dyDescent="0.35">
      <c r="A61" s="26">
        <v>42796</v>
      </c>
      <c r="B61" s="25">
        <v>64.690002000000007</v>
      </c>
      <c r="C61" s="25">
        <v>64.75</v>
      </c>
      <c r="D61" s="25">
        <v>63.880001</v>
      </c>
      <c r="E61" s="25">
        <v>64.010002</v>
      </c>
      <c r="F61" s="25">
        <v>24539600</v>
      </c>
      <c r="G61" s="25">
        <v>62.991546999999997</v>
      </c>
      <c r="H61" s="19">
        <f t="shared" si="1"/>
        <v>-1.4424509412503433E-2</v>
      </c>
      <c r="I61" s="27">
        <f t="shared" si="7"/>
        <v>0.11197693184631691</v>
      </c>
      <c r="J61" s="25">
        <f t="shared" si="2"/>
        <v>-0.93000000000000682</v>
      </c>
      <c r="K61" s="25">
        <f t="shared" si="3"/>
        <v>0</v>
      </c>
      <c r="L61" s="25">
        <f t="shared" si="4"/>
        <v>0.93000000000000682</v>
      </c>
      <c r="M61" s="25">
        <f t="shared" ref="M61:N61" si="54">AVERAGE(K48:K61)</f>
        <v>0.1457150714285714</v>
      </c>
      <c r="N61" s="25">
        <f t="shared" si="54"/>
        <v>0.14928621428571379</v>
      </c>
      <c r="O61" s="25">
        <f t="shared" si="9"/>
        <v>0.97607854901921687</v>
      </c>
      <c r="P61" s="25">
        <f t="shared" si="10"/>
        <v>49.394724187642844</v>
      </c>
      <c r="Q61" s="25">
        <f t="shared" si="0"/>
        <v>0.86999899999999997</v>
      </c>
      <c r="R61" s="25">
        <f t="shared" si="5"/>
        <v>0.58285714285714008</v>
      </c>
      <c r="S61" s="25">
        <f t="shared" si="6"/>
        <v>64.457500916666675</v>
      </c>
      <c r="T61" s="20">
        <v>64.08169919267921</v>
      </c>
      <c r="U61" s="20">
        <v>0.25338641277956242</v>
      </c>
      <c r="V61" s="20">
        <v>0.32199710291576883</v>
      </c>
      <c r="W61" s="20">
        <v>-6.8610690136206409E-2</v>
      </c>
    </row>
    <row r="62" spans="1:23" x14ac:dyDescent="0.35">
      <c r="A62" s="26">
        <v>42797</v>
      </c>
      <c r="B62" s="25">
        <v>63.990001999999997</v>
      </c>
      <c r="C62" s="25">
        <v>64.279999000000004</v>
      </c>
      <c r="D62" s="25">
        <v>63.619999</v>
      </c>
      <c r="E62" s="25">
        <v>64.25</v>
      </c>
      <c r="F62" s="25">
        <v>18135900</v>
      </c>
      <c r="G62" s="25">
        <v>63.227722</v>
      </c>
      <c r="H62" s="19">
        <f t="shared" si="1"/>
        <v>3.7423014331083903E-3</v>
      </c>
      <c r="I62" s="27">
        <f t="shared" si="7"/>
        <v>0.11267105553209317</v>
      </c>
      <c r="J62" s="25">
        <f t="shared" si="2"/>
        <v>0.23999799999999993</v>
      </c>
      <c r="K62" s="25">
        <f t="shared" si="3"/>
        <v>0.23999799999999993</v>
      </c>
      <c r="L62" s="25">
        <f t="shared" si="4"/>
        <v>0</v>
      </c>
      <c r="M62" s="25">
        <f t="shared" ref="M62:N62" si="55">AVERAGE(K49:K62)</f>
        <v>0.16285778571428569</v>
      </c>
      <c r="N62" s="25">
        <f t="shared" si="55"/>
        <v>0.14500064285714284</v>
      </c>
      <c r="O62" s="25">
        <f t="shared" si="9"/>
        <v>1.123152163364793</v>
      </c>
      <c r="P62" s="25">
        <f t="shared" si="10"/>
        <v>52.900219906274174</v>
      </c>
      <c r="Q62" s="25">
        <f t="shared" si="0"/>
        <v>0.66000000000000369</v>
      </c>
      <c r="R62" s="25">
        <f t="shared" si="5"/>
        <v>0.60714264285713981</v>
      </c>
      <c r="S62" s="25">
        <f t="shared" si="6"/>
        <v>64.430834250000004</v>
      </c>
      <c r="T62" s="20">
        <v>64.094165919147414</v>
      </c>
      <c r="U62" s="20">
        <v>0.22782959316384677</v>
      </c>
      <c r="V62" s="20">
        <v>0.30316360096538447</v>
      </c>
      <c r="W62" s="20">
        <v>-7.5334007801537706E-2</v>
      </c>
    </row>
    <row r="63" spans="1:23" x14ac:dyDescent="0.35">
      <c r="A63" s="26">
        <v>42800</v>
      </c>
      <c r="B63" s="25">
        <v>63.970001000000003</v>
      </c>
      <c r="C63" s="25">
        <v>64.559997999999993</v>
      </c>
      <c r="D63" s="25">
        <v>63.810001</v>
      </c>
      <c r="E63" s="25">
        <v>64.269997000000004</v>
      </c>
      <c r="F63" s="25">
        <v>18750300</v>
      </c>
      <c r="G63" s="25">
        <v>63.247405999999998</v>
      </c>
      <c r="H63" s="19">
        <f t="shared" si="1"/>
        <v>3.1127068966374955E-4</v>
      </c>
      <c r="I63" s="27">
        <f t="shared" si="7"/>
        <v>0.10201093609707307</v>
      </c>
      <c r="J63" s="25">
        <f t="shared" si="2"/>
        <v>1.9997000000003595E-2</v>
      </c>
      <c r="K63" s="25">
        <f t="shared" si="3"/>
        <v>1.9997000000003595E-2</v>
      </c>
      <c r="L63" s="25">
        <f t="shared" si="4"/>
        <v>0</v>
      </c>
      <c r="M63" s="25">
        <f t="shared" ref="M63:N63" si="56">AVERAGE(K50:K63)</f>
        <v>0.1128575000000005</v>
      </c>
      <c r="N63" s="25">
        <f t="shared" si="56"/>
        <v>0.14500064285714284</v>
      </c>
      <c r="O63" s="25">
        <f t="shared" si="9"/>
        <v>0.77832413550876234</v>
      </c>
      <c r="P63" s="25">
        <f t="shared" si="10"/>
        <v>43.767281788935009</v>
      </c>
      <c r="Q63" s="25">
        <f t="shared" si="0"/>
        <v>0.74999699999999336</v>
      </c>
      <c r="R63" s="25">
        <f t="shared" si="5"/>
        <v>0.60857071428571119</v>
      </c>
      <c r="S63" s="25">
        <f t="shared" si="6"/>
        <v>64.409167416666676</v>
      </c>
      <c r="T63" s="20">
        <v>64.107190443655014</v>
      </c>
      <c r="U63" s="20">
        <v>0.20680529753143162</v>
      </c>
      <c r="V63" s="20">
        <v>0.28389194027859388</v>
      </c>
      <c r="W63" s="20">
        <v>-7.708664274716226E-2</v>
      </c>
    </row>
    <row r="64" spans="1:23" x14ac:dyDescent="0.35">
      <c r="A64" s="26">
        <v>42801</v>
      </c>
      <c r="B64" s="25">
        <v>64.190002000000007</v>
      </c>
      <c r="C64" s="25">
        <v>64.779999000000004</v>
      </c>
      <c r="D64" s="25">
        <v>64.190002000000007</v>
      </c>
      <c r="E64" s="25">
        <v>64.400002000000001</v>
      </c>
      <c r="F64" s="25">
        <v>18521000</v>
      </c>
      <c r="G64" s="25">
        <v>63.375335999999997</v>
      </c>
      <c r="H64" s="19">
        <f t="shared" si="1"/>
        <v>2.020648763527976E-3</v>
      </c>
      <c r="I64" s="27">
        <f t="shared" si="7"/>
        <v>0.10103550337102178</v>
      </c>
      <c r="J64" s="25">
        <f t="shared" si="2"/>
        <v>0.13000499999999704</v>
      </c>
      <c r="K64" s="25">
        <f t="shared" si="3"/>
        <v>0.13000499999999704</v>
      </c>
      <c r="L64" s="25">
        <f t="shared" si="4"/>
        <v>0</v>
      </c>
      <c r="M64" s="25">
        <f t="shared" ref="M64:N64" si="57">AVERAGE(K51:K64)</f>
        <v>0.12214357142857171</v>
      </c>
      <c r="N64" s="25">
        <f t="shared" si="57"/>
        <v>0.13428628571428547</v>
      </c>
      <c r="O64" s="25">
        <f t="shared" si="9"/>
        <v>0.90957591669823057</v>
      </c>
      <c r="P64" s="25">
        <f t="shared" si="10"/>
        <v>47.632351704086261</v>
      </c>
      <c r="Q64" s="25">
        <f t="shared" si="0"/>
        <v>0.58999699999999677</v>
      </c>
      <c r="R64" s="25">
        <f t="shared" si="5"/>
        <v>0.60071307142856867</v>
      </c>
      <c r="S64" s="25">
        <f t="shared" si="6"/>
        <v>64.399167833333337</v>
      </c>
      <c r="T64" s="20">
        <v>64.128880188569468</v>
      </c>
      <c r="U64" s="20">
        <v>0.19834728474214103</v>
      </c>
      <c r="V64" s="20">
        <v>0.26678300917130332</v>
      </c>
      <c r="W64" s="20">
        <v>-6.8435724429162292E-2</v>
      </c>
    </row>
    <row r="65" spans="1:23" x14ac:dyDescent="0.35">
      <c r="A65" s="26">
        <v>42802</v>
      </c>
      <c r="B65" s="25">
        <v>64.260002</v>
      </c>
      <c r="C65" s="25">
        <v>65.080001999999993</v>
      </c>
      <c r="D65" s="25">
        <v>64.25</v>
      </c>
      <c r="E65" s="25">
        <v>64.989998</v>
      </c>
      <c r="F65" s="25">
        <v>21510900</v>
      </c>
      <c r="G65" s="25">
        <v>63.955944000000002</v>
      </c>
      <c r="H65" s="19">
        <f t="shared" si="1"/>
        <v>9.1197076483735488E-3</v>
      </c>
      <c r="I65" s="27">
        <f t="shared" si="7"/>
        <v>0.10840984564862344</v>
      </c>
      <c r="J65" s="25">
        <f t="shared" si="2"/>
        <v>0.5899959999999993</v>
      </c>
      <c r="K65" s="25">
        <f t="shared" si="3"/>
        <v>0.5899959999999993</v>
      </c>
      <c r="L65" s="25">
        <f t="shared" si="4"/>
        <v>0</v>
      </c>
      <c r="M65" s="25">
        <f t="shared" ref="M65:N65" si="58">AVERAGE(K52:K65)</f>
        <v>0.1642861428571431</v>
      </c>
      <c r="N65" s="25">
        <f t="shared" si="58"/>
        <v>0.13142907142857194</v>
      </c>
      <c r="O65" s="25">
        <f t="shared" si="9"/>
        <v>1.2499985054404654</v>
      </c>
      <c r="P65" s="25">
        <f t="shared" si="10"/>
        <v>55.555526033372296</v>
      </c>
      <c r="Q65" s="25">
        <f t="shared" si="0"/>
        <v>0.83000199999999325</v>
      </c>
      <c r="R65" s="25">
        <f t="shared" si="5"/>
        <v>0.63071349999999726</v>
      </c>
      <c r="S65" s="25">
        <f t="shared" si="6"/>
        <v>64.430000750000005</v>
      </c>
      <c r="T65" s="20">
        <v>64.192666693119875</v>
      </c>
      <c r="U65" s="20">
        <v>0.23652547660533685</v>
      </c>
      <c r="V65" s="20">
        <v>0.26073150265811001</v>
      </c>
      <c r="W65" s="20">
        <v>-2.4206026052773166E-2</v>
      </c>
    </row>
    <row r="66" spans="1:23" x14ac:dyDescent="0.35">
      <c r="A66" s="26">
        <v>42803</v>
      </c>
      <c r="B66" s="25">
        <v>65.190002000000007</v>
      </c>
      <c r="C66" s="25">
        <v>65.199996999999996</v>
      </c>
      <c r="D66" s="25">
        <v>64.480002999999996</v>
      </c>
      <c r="E66" s="25">
        <v>64.730002999999996</v>
      </c>
      <c r="F66" s="25">
        <v>19846800</v>
      </c>
      <c r="G66" s="25">
        <v>63.700096000000002</v>
      </c>
      <c r="H66" s="19">
        <f t="shared" si="1"/>
        <v>-4.0084016794680035E-3</v>
      </c>
      <c r="I66" s="27">
        <f t="shared" si="7"/>
        <v>0.11008598499685728</v>
      </c>
      <c r="J66" s="25">
        <f t="shared" si="2"/>
        <v>-0.25999500000000353</v>
      </c>
      <c r="K66" s="25">
        <f t="shared" si="3"/>
        <v>0</v>
      </c>
      <c r="L66" s="25">
        <f t="shared" si="4"/>
        <v>0.25999500000000353</v>
      </c>
      <c r="M66" s="25">
        <f t="shared" ref="M66:N66" si="59">AVERAGE(K53:K66)</f>
        <v>0.1642861428571431</v>
      </c>
      <c r="N66" s="25">
        <f t="shared" si="59"/>
        <v>0.14928571428571505</v>
      </c>
      <c r="O66" s="25">
        <f t="shared" si="9"/>
        <v>1.1004813397129147</v>
      </c>
      <c r="P66" s="25">
        <f t="shared" si="10"/>
        <v>52.391864612485641</v>
      </c>
      <c r="Q66" s="25">
        <f t="shared" si="0"/>
        <v>0.7199939999999998</v>
      </c>
      <c r="R66" s="25">
        <f t="shared" si="5"/>
        <v>0.62499907142856925</v>
      </c>
      <c r="S66" s="25">
        <f t="shared" si="6"/>
        <v>64.450001166666667</v>
      </c>
      <c r="T66" s="20">
        <v>64.232469382518403</v>
      </c>
      <c r="U66" s="20">
        <v>0.24300137647985309</v>
      </c>
      <c r="V66" s="20">
        <v>0.25718547742245862</v>
      </c>
      <c r="W66" s="20">
        <v>-1.4184100942605526E-2</v>
      </c>
    </row>
    <row r="67" spans="1:23" x14ac:dyDescent="0.35">
      <c r="A67" s="26">
        <v>42804</v>
      </c>
      <c r="B67" s="25">
        <v>65.110000999999997</v>
      </c>
      <c r="C67" s="25">
        <v>65.260002</v>
      </c>
      <c r="D67" s="25">
        <v>64.75</v>
      </c>
      <c r="E67" s="25">
        <v>64.930000000000007</v>
      </c>
      <c r="F67" s="25">
        <v>19538200</v>
      </c>
      <c r="G67" s="25">
        <v>63.896908000000003</v>
      </c>
      <c r="H67" s="19">
        <f t="shared" si="1"/>
        <v>3.0849024649843436E-3</v>
      </c>
      <c r="I67" s="27">
        <f t="shared" si="7"/>
        <v>0.11063368415280414</v>
      </c>
      <c r="J67" s="25">
        <f t="shared" si="2"/>
        <v>0.19999700000001042</v>
      </c>
      <c r="K67" s="25">
        <f t="shared" si="3"/>
        <v>0.19999700000001042</v>
      </c>
      <c r="L67" s="25">
        <f t="shared" si="4"/>
        <v>0</v>
      </c>
      <c r="M67" s="25">
        <f t="shared" ref="M67:N67" si="60">AVERAGE(K54:K67)</f>
        <v>0.17142835714285859</v>
      </c>
      <c r="N67" s="25">
        <f t="shared" si="60"/>
        <v>0.14928571428571505</v>
      </c>
      <c r="O67" s="25">
        <f t="shared" si="9"/>
        <v>1.1483239234449798</v>
      </c>
      <c r="P67" s="25">
        <f t="shared" si="10"/>
        <v>53.452084711860685</v>
      </c>
      <c r="Q67" s="25">
        <f t="shared" ref="Q67:Q130" si="61">ABS(C67-D67)</f>
        <v>0.51000200000000007</v>
      </c>
      <c r="R67" s="25">
        <f t="shared" si="5"/>
        <v>0.63357071428571188</v>
      </c>
      <c r="S67" s="25">
        <f t="shared" si="6"/>
        <v>64.497501083333347</v>
      </c>
      <c r="T67" s="20">
        <v>64.28413831714667</v>
      </c>
      <c r="U67" s="20">
        <v>0.26126001739031324</v>
      </c>
      <c r="V67" s="20">
        <v>0.25800038541602954</v>
      </c>
      <c r="W67" s="20">
        <v>3.2596319742836943E-3</v>
      </c>
    </row>
    <row r="68" spans="1:23" x14ac:dyDescent="0.35">
      <c r="A68" s="26">
        <v>42807</v>
      </c>
      <c r="B68" s="25">
        <v>65.010002</v>
      </c>
      <c r="C68" s="25">
        <v>65.190002000000007</v>
      </c>
      <c r="D68" s="25">
        <v>64.569999999999993</v>
      </c>
      <c r="E68" s="25">
        <v>64.709998999999996</v>
      </c>
      <c r="F68" s="25">
        <v>20100000</v>
      </c>
      <c r="G68" s="25">
        <v>63.680405</v>
      </c>
      <c r="H68" s="19">
        <f t="shared" ref="H68:H131" si="62">LN(G68/G67)</f>
        <v>-3.394070665804297E-3</v>
      </c>
      <c r="I68" s="27">
        <f t="shared" si="7"/>
        <v>0.11135599595266243</v>
      </c>
      <c r="J68" s="25">
        <f t="shared" ref="J68:J131" si="63">E68-E67</f>
        <v>-0.22000100000001055</v>
      </c>
      <c r="K68" s="25">
        <f t="shared" ref="K68:K131" si="64">IF(J68&gt;0,J68,0)</f>
        <v>0</v>
      </c>
      <c r="L68" s="25">
        <f t="shared" ref="L68:L131" si="65">IF(J68&lt;0,ABS(J68),0)</f>
        <v>0.22000100000001055</v>
      </c>
      <c r="M68" s="25">
        <f t="shared" ref="M68:N68" si="66">AVERAGE(K55:K68)</f>
        <v>0.17142835714285859</v>
      </c>
      <c r="N68" s="25">
        <f t="shared" si="66"/>
        <v>0.15571400000000171</v>
      </c>
      <c r="O68" s="25">
        <f t="shared" si="9"/>
        <v>1.1009180750790339</v>
      </c>
      <c r="P68" s="25">
        <f t="shared" si="10"/>
        <v>52.401761312735559</v>
      </c>
      <c r="Q68" s="25">
        <f t="shared" si="61"/>
        <v>0.62000200000001371</v>
      </c>
      <c r="R68" s="25">
        <f t="shared" si="5"/>
        <v>0.64214228571428422</v>
      </c>
      <c r="S68" s="25">
        <f t="shared" si="6"/>
        <v>64.505000750000008</v>
      </c>
      <c r="T68" s="20">
        <v>64.315683552913583</v>
      </c>
      <c r="U68" s="20">
        <v>0.25503796092540654</v>
      </c>
      <c r="V68" s="20">
        <v>0.25740790051790496</v>
      </c>
      <c r="W68" s="20">
        <v>-2.3699395924984268E-3</v>
      </c>
    </row>
    <row r="69" spans="1:23" x14ac:dyDescent="0.35">
      <c r="A69" s="26">
        <v>42808</v>
      </c>
      <c r="B69" s="25">
        <v>64.529999000000004</v>
      </c>
      <c r="C69" s="25">
        <v>64.550003000000004</v>
      </c>
      <c r="D69" s="25">
        <v>64.150002000000001</v>
      </c>
      <c r="E69" s="25">
        <v>64.410004000000001</v>
      </c>
      <c r="F69" s="25">
        <v>14280200</v>
      </c>
      <c r="G69" s="25">
        <v>63.385181000000003</v>
      </c>
      <c r="H69" s="19">
        <f t="shared" si="62"/>
        <v>-4.6468054887166942E-3</v>
      </c>
      <c r="I69" s="27">
        <f t="shared" si="7"/>
        <v>0.11293812038645047</v>
      </c>
      <c r="J69" s="25">
        <f t="shared" si="63"/>
        <v>-0.29999499999999557</v>
      </c>
      <c r="K69" s="25">
        <f t="shared" si="64"/>
        <v>0</v>
      </c>
      <c r="L69" s="25">
        <f t="shared" si="65"/>
        <v>0.29999499999999557</v>
      </c>
      <c r="M69" s="25">
        <f t="shared" ref="M69:N69" si="67">AVERAGE(K56:K69)</f>
        <v>0.17142835714285859</v>
      </c>
      <c r="N69" s="25">
        <f t="shared" si="67"/>
        <v>0.16785671428571547</v>
      </c>
      <c r="O69" s="25">
        <f t="shared" si="9"/>
        <v>1.0212779266670482</v>
      </c>
      <c r="P69" s="25">
        <f t="shared" si="10"/>
        <v>50.526348365712735</v>
      </c>
      <c r="Q69" s="25">
        <f t="shared" si="61"/>
        <v>0.40000100000000316</v>
      </c>
      <c r="R69" s="25">
        <f t="shared" si="5"/>
        <v>0.64642835714285596</v>
      </c>
      <c r="S69" s="25">
        <f t="shared" si="6"/>
        <v>64.487500833333343</v>
      </c>
      <c r="T69" s="20">
        <v>64.322670252697762</v>
      </c>
      <c r="U69" s="20">
        <v>0.22332548978138789</v>
      </c>
      <c r="V69" s="20">
        <v>0.25059141837060156</v>
      </c>
      <c r="W69" s="20">
        <v>-2.7265928589213673E-2</v>
      </c>
    </row>
    <row r="70" spans="1:23" x14ac:dyDescent="0.35">
      <c r="A70" s="26">
        <v>42809</v>
      </c>
      <c r="B70" s="25">
        <v>64.550003000000004</v>
      </c>
      <c r="C70" s="25">
        <v>64.919998000000007</v>
      </c>
      <c r="D70" s="25">
        <v>64.25</v>
      </c>
      <c r="E70" s="25">
        <v>64.75</v>
      </c>
      <c r="F70" s="25">
        <v>24833800</v>
      </c>
      <c r="G70" s="25">
        <v>63.719771999999999</v>
      </c>
      <c r="H70" s="19">
        <f t="shared" si="62"/>
        <v>5.2648109292107127E-3</v>
      </c>
      <c r="I70" s="27">
        <f t="shared" si="7"/>
        <v>0.1138967945020911</v>
      </c>
      <c r="J70" s="25">
        <f t="shared" si="63"/>
        <v>0.3399959999999993</v>
      </c>
      <c r="K70" s="25">
        <f t="shared" si="64"/>
        <v>0.3399959999999993</v>
      </c>
      <c r="L70" s="25">
        <f t="shared" si="65"/>
        <v>0</v>
      </c>
      <c r="M70" s="25">
        <f t="shared" ref="M70:N70" si="68">AVERAGE(K57:K70)</f>
        <v>0.17714221428571569</v>
      </c>
      <c r="N70" s="25">
        <f t="shared" si="68"/>
        <v>0.16785671428571547</v>
      </c>
      <c r="O70" s="25">
        <f t="shared" si="9"/>
        <v>1.0553180135779079</v>
      </c>
      <c r="P70" s="25">
        <f t="shared" si="10"/>
        <v>51.345728816963224</v>
      </c>
      <c r="Q70" s="25">
        <f t="shared" si="61"/>
        <v>0.66999800000000675</v>
      </c>
      <c r="R70" s="25">
        <f t="shared" si="5"/>
        <v>0.65571385714285724</v>
      </c>
      <c r="S70" s="25">
        <f t="shared" si="6"/>
        <v>64.530833916666666</v>
      </c>
      <c r="T70" s="20">
        <v>64.354324308053478</v>
      </c>
      <c r="U70" s="20">
        <v>0.22305670481350148</v>
      </c>
      <c r="V70" s="20">
        <v>0.24508447565918157</v>
      </c>
      <c r="W70" s="20">
        <v>-2.2027770845680084E-2</v>
      </c>
    </row>
    <row r="71" spans="1:23" x14ac:dyDescent="0.35">
      <c r="A71" s="26">
        <v>42810</v>
      </c>
      <c r="B71" s="25">
        <v>64.75</v>
      </c>
      <c r="C71" s="25">
        <v>64.760002</v>
      </c>
      <c r="D71" s="25">
        <v>64.300003000000004</v>
      </c>
      <c r="E71" s="25">
        <v>64.639999000000003</v>
      </c>
      <c r="F71" s="25">
        <v>20674300</v>
      </c>
      <c r="G71" s="25">
        <v>63.611519000000001</v>
      </c>
      <c r="H71" s="19">
        <f t="shared" si="62"/>
        <v>-1.7003365823292237E-3</v>
      </c>
      <c r="I71" s="27">
        <f t="shared" si="7"/>
        <v>0.11416647325229065</v>
      </c>
      <c r="J71" s="25">
        <f t="shared" si="63"/>
        <v>-0.11000099999999691</v>
      </c>
      <c r="K71" s="25">
        <f t="shared" si="64"/>
        <v>0</v>
      </c>
      <c r="L71" s="25">
        <f t="shared" si="65"/>
        <v>0.11000099999999691</v>
      </c>
      <c r="M71" s="25">
        <f t="shared" ref="M71:N71" si="69">AVERAGE(K58:K71)</f>
        <v>0.17714221428571569</v>
      </c>
      <c r="N71" s="25">
        <f t="shared" si="69"/>
        <v>0.17571392857142953</v>
      </c>
      <c r="O71" s="25">
        <f t="shared" si="9"/>
        <v>1.0081284718058394</v>
      </c>
      <c r="P71" s="25">
        <f t="shared" si="10"/>
        <v>50.202389237540409</v>
      </c>
      <c r="Q71" s="25">
        <f t="shared" si="61"/>
        <v>0.45999899999999627</v>
      </c>
      <c r="R71" s="25">
        <f t="shared" si="5"/>
        <v>0.64142778571428549</v>
      </c>
      <c r="S71" s="25">
        <f t="shared" si="6"/>
        <v>64.585833833333325</v>
      </c>
      <c r="T71" s="20">
        <v>64.375485396345809</v>
      </c>
      <c r="U71" s="20">
        <v>0.21152915300316977</v>
      </c>
      <c r="V71" s="20">
        <v>0.23837341112797922</v>
      </c>
      <c r="W71" s="20">
        <v>-2.684425812480945E-2</v>
      </c>
    </row>
    <row r="72" spans="1:23" x14ac:dyDescent="0.35">
      <c r="A72" s="26">
        <v>42811</v>
      </c>
      <c r="B72" s="25">
        <v>64.910004000000001</v>
      </c>
      <c r="C72" s="25">
        <v>65.239998</v>
      </c>
      <c r="D72" s="25">
        <v>64.680000000000007</v>
      </c>
      <c r="E72" s="25">
        <v>64.870002999999997</v>
      </c>
      <c r="F72" s="25">
        <v>49219700</v>
      </c>
      <c r="G72" s="25">
        <v>63.837859999999999</v>
      </c>
      <c r="H72" s="19">
        <f t="shared" si="62"/>
        <v>3.5518609777523513E-3</v>
      </c>
      <c r="I72" s="27">
        <f t="shared" si="7"/>
        <v>0.11149976573262492</v>
      </c>
      <c r="J72" s="25">
        <f t="shared" si="63"/>
        <v>0.23000399999999388</v>
      </c>
      <c r="K72" s="25">
        <f t="shared" si="64"/>
        <v>0.23000399999999388</v>
      </c>
      <c r="L72" s="25">
        <f t="shared" si="65"/>
        <v>0</v>
      </c>
      <c r="M72" s="25">
        <f t="shared" ref="M72:N72" si="70">AVERAGE(K59:K72)</f>
        <v>0.19357107142857238</v>
      </c>
      <c r="N72" s="25">
        <f t="shared" si="70"/>
        <v>0.14785678571428665</v>
      </c>
      <c r="O72" s="25">
        <f t="shared" si="9"/>
        <v>1.3091794907717151</v>
      </c>
      <c r="P72" s="25">
        <f t="shared" si="10"/>
        <v>56.694574674842386</v>
      </c>
      <c r="Q72" s="25">
        <f t="shared" si="61"/>
        <v>0.55999799999999311</v>
      </c>
      <c r="R72" s="25">
        <f t="shared" si="5"/>
        <v>0.64642778571428494</v>
      </c>
      <c r="S72" s="25">
        <f t="shared" si="6"/>
        <v>64.58000058333333</v>
      </c>
      <c r="T72" s="20">
        <v>64.412116329949825</v>
      </c>
      <c r="U72" s="20">
        <v>0.21843490411470157</v>
      </c>
      <c r="V72" s="20">
        <v>0.23438570972532369</v>
      </c>
      <c r="W72" s="20">
        <v>-1.5950805610622121E-2</v>
      </c>
    </row>
    <row r="73" spans="1:23" x14ac:dyDescent="0.35">
      <c r="A73" s="26">
        <v>42814</v>
      </c>
      <c r="B73" s="25">
        <v>64.910004000000001</v>
      </c>
      <c r="C73" s="25">
        <v>65.180000000000007</v>
      </c>
      <c r="D73" s="25">
        <v>64.720000999999996</v>
      </c>
      <c r="E73" s="25">
        <v>64.930000000000007</v>
      </c>
      <c r="F73" s="25">
        <v>14598100</v>
      </c>
      <c r="G73" s="25">
        <v>63.896908000000003</v>
      </c>
      <c r="H73" s="19">
        <f t="shared" si="62"/>
        <v>9.245408298869266E-4</v>
      </c>
      <c r="I73" s="27">
        <f t="shared" si="7"/>
        <v>0.10949539243848559</v>
      </c>
      <c r="J73" s="25">
        <f t="shared" si="63"/>
        <v>5.9997000000009848E-2</v>
      </c>
      <c r="K73" s="25">
        <f t="shared" si="64"/>
        <v>5.9997000000009848E-2</v>
      </c>
      <c r="L73" s="25">
        <f t="shared" si="65"/>
        <v>0</v>
      </c>
      <c r="M73" s="25">
        <f t="shared" ref="M73:N73" si="71">AVERAGE(K60:K73)</f>
        <v>0.1978565714285731</v>
      </c>
      <c r="N73" s="25">
        <f t="shared" si="71"/>
        <v>0.12999942857142952</v>
      </c>
      <c r="O73" s="25">
        <f t="shared" si="9"/>
        <v>1.5219803163969969</v>
      </c>
      <c r="P73" s="25">
        <f t="shared" si="10"/>
        <v>60.348619951616413</v>
      </c>
      <c r="Q73" s="25">
        <f t="shared" si="61"/>
        <v>0.45999900000001048</v>
      </c>
      <c r="R73" s="25">
        <f t="shared" si="5"/>
        <v>0.64785635714285761</v>
      </c>
      <c r="S73" s="25">
        <f t="shared" si="6"/>
        <v>64.656667083333332</v>
      </c>
      <c r="T73" s="20">
        <v>64.450478083286882</v>
      </c>
      <c r="U73" s="20">
        <v>0.22614219169079774</v>
      </c>
      <c r="V73" s="20">
        <v>0.23273700611841852</v>
      </c>
      <c r="W73" s="20">
        <v>-6.5948144276207765E-3</v>
      </c>
    </row>
    <row r="74" spans="1:23" x14ac:dyDescent="0.35">
      <c r="A74" s="26">
        <v>42815</v>
      </c>
      <c r="B74" s="25">
        <v>65.190002000000007</v>
      </c>
      <c r="C74" s="25">
        <v>65.5</v>
      </c>
      <c r="D74" s="25">
        <v>64.129997000000003</v>
      </c>
      <c r="E74" s="25">
        <v>64.209998999999996</v>
      </c>
      <c r="F74" s="25">
        <v>26640500</v>
      </c>
      <c r="G74" s="25">
        <v>63.188361999999998</v>
      </c>
      <c r="H74" s="19">
        <f t="shared" si="62"/>
        <v>-1.1150833480016369E-2</v>
      </c>
      <c r="I74" s="27">
        <f t="shared" si="7"/>
        <v>0.10111192167260206</v>
      </c>
      <c r="J74" s="25">
        <f t="shared" si="63"/>
        <v>-0.72000100000001055</v>
      </c>
      <c r="K74" s="25">
        <f t="shared" si="64"/>
        <v>0</v>
      </c>
      <c r="L74" s="25">
        <f t="shared" si="65"/>
        <v>0.72000100000001055</v>
      </c>
      <c r="M74" s="25">
        <f t="shared" ref="M74:N74" si="72">AVERAGE(K61:K74)</f>
        <v>0.12928500000000095</v>
      </c>
      <c r="N74" s="25">
        <f t="shared" si="72"/>
        <v>0.18142807142857315</v>
      </c>
      <c r="O74" s="25">
        <f t="shared" si="9"/>
        <v>0.7125964520374648</v>
      </c>
      <c r="P74" s="25">
        <f t="shared" si="10"/>
        <v>41.609128127627116</v>
      </c>
      <c r="Q74" s="25">
        <f t="shared" si="61"/>
        <v>1.370002999999997</v>
      </c>
      <c r="R74" s="25">
        <f t="shared" si="5"/>
        <v>0.67642792857142908</v>
      </c>
      <c r="S74" s="25">
        <f t="shared" si="6"/>
        <v>64.653333666666668</v>
      </c>
      <c r="T74" s="20">
        <v>64.432664817858225</v>
      </c>
      <c r="U74" s="20">
        <v>0.17216756866135086</v>
      </c>
      <c r="V74" s="20">
        <v>0.22062311862700501</v>
      </c>
      <c r="W74" s="20">
        <v>-4.8455549965654154E-2</v>
      </c>
    </row>
    <row r="75" spans="1:23" x14ac:dyDescent="0.35">
      <c r="A75" s="26">
        <v>42816</v>
      </c>
      <c r="B75" s="25">
        <v>64.120002999999997</v>
      </c>
      <c r="C75" s="25">
        <v>65.139999000000003</v>
      </c>
      <c r="D75" s="25">
        <v>64.120002999999997</v>
      </c>
      <c r="E75" s="25">
        <v>65.029999000000004</v>
      </c>
      <c r="F75" s="25">
        <v>20680000</v>
      </c>
      <c r="G75" s="25">
        <v>63.995311999999998</v>
      </c>
      <c r="H75" s="19">
        <f t="shared" si="62"/>
        <v>1.2689692050445348E-2</v>
      </c>
      <c r="I75" s="27">
        <f t="shared" si="7"/>
        <v>9.5617451210585749E-2</v>
      </c>
      <c r="J75" s="25">
        <f t="shared" si="63"/>
        <v>0.82000000000000739</v>
      </c>
      <c r="K75" s="25">
        <f t="shared" si="64"/>
        <v>0.82000000000000739</v>
      </c>
      <c r="L75" s="25">
        <f t="shared" si="65"/>
        <v>0</v>
      </c>
      <c r="M75" s="25">
        <f t="shared" ref="M75:N75" si="73">AVERAGE(K62:K75)</f>
        <v>0.18785642857143006</v>
      </c>
      <c r="N75" s="25">
        <f t="shared" si="73"/>
        <v>0.11499950000000123</v>
      </c>
      <c r="O75" s="25">
        <f t="shared" si="9"/>
        <v>1.6335412638439999</v>
      </c>
      <c r="P75" s="25">
        <f t="shared" si="10"/>
        <v>62.028314736167516</v>
      </c>
      <c r="Q75" s="25">
        <f t="shared" si="61"/>
        <v>1.0199960000000061</v>
      </c>
      <c r="R75" s="25">
        <f t="shared" si="5"/>
        <v>0.68714200000000092</v>
      </c>
      <c r="S75" s="25">
        <f t="shared" si="6"/>
        <v>64.716667166666682</v>
      </c>
      <c r="T75" s="20">
        <v>64.476911794313168</v>
      </c>
      <c r="U75" s="20">
        <v>0.19333084043415738</v>
      </c>
      <c r="V75" s="20">
        <v>0.21516466298843551</v>
      </c>
      <c r="W75" s="20">
        <v>-2.1833822554278126E-2</v>
      </c>
    </row>
    <row r="76" spans="1:23" x14ac:dyDescent="0.35">
      <c r="A76" s="26">
        <v>42817</v>
      </c>
      <c r="B76" s="25">
        <v>64.940002000000007</v>
      </c>
      <c r="C76" s="25">
        <v>65.239998</v>
      </c>
      <c r="D76" s="25">
        <v>64.769997000000004</v>
      </c>
      <c r="E76" s="25">
        <v>64.870002999999997</v>
      </c>
      <c r="F76" s="25">
        <v>19269200</v>
      </c>
      <c r="G76" s="25">
        <v>63.837859999999999</v>
      </c>
      <c r="H76" s="19">
        <f t="shared" si="62"/>
        <v>-2.4633994003158055E-3</v>
      </c>
      <c r="I76" s="27">
        <f t="shared" si="7"/>
        <v>9.5954216428373248E-2</v>
      </c>
      <c r="J76" s="25">
        <f t="shared" si="63"/>
        <v>-0.15999600000000669</v>
      </c>
      <c r="K76" s="25">
        <f t="shared" si="64"/>
        <v>0</v>
      </c>
      <c r="L76" s="25">
        <f t="shared" si="65"/>
        <v>0.15999600000000669</v>
      </c>
      <c r="M76" s="25">
        <f t="shared" ref="M76:N76" si="74">AVERAGE(K63:K76)</f>
        <v>0.17071371428571577</v>
      </c>
      <c r="N76" s="25">
        <f t="shared" si="74"/>
        <v>0.12642778571428742</v>
      </c>
      <c r="O76" s="25">
        <f t="shared" si="9"/>
        <v>1.3502863577118212</v>
      </c>
      <c r="P76" s="25">
        <f t="shared" si="10"/>
        <v>57.451993170160996</v>
      </c>
      <c r="Q76" s="25">
        <f t="shared" si="61"/>
        <v>0.47000099999999634</v>
      </c>
      <c r="R76" s="25">
        <f t="shared" si="5"/>
        <v>0.6735706428571433</v>
      </c>
      <c r="S76" s="25">
        <f t="shared" si="6"/>
        <v>64.755833916666674</v>
      </c>
      <c r="T76" s="20">
        <v>64.506029661401072</v>
      </c>
      <c r="U76" s="20">
        <v>0.19494533723127461</v>
      </c>
      <c r="V76" s="20">
        <v>0.21112079783700333</v>
      </c>
      <c r="W76" s="20">
        <v>-1.617546060572872E-2</v>
      </c>
    </row>
    <row r="77" spans="1:23" x14ac:dyDescent="0.35">
      <c r="A77" s="26">
        <v>42818</v>
      </c>
      <c r="B77" s="25">
        <v>65.360000999999997</v>
      </c>
      <c r="C77" s="25">
        <v>65.449996999999996</v>
      </c>
      <c r="D77" s="25">
        <v>64.760002</v>
      </c>
      <c r="E77" s="25">
        <v>64.980002999999996</v>
      </c>
      <c r="F77" s="25">
        <v>22617100</v>
      </c>
      <c r="G77" s="25">
        <v>63.946114000000001</v>
      </c>
      <c r="H77" s="19">
        <f t="shared" si="62"/>
        <v>1.6943286784539453E-3</v>
      </c>
      <c r="I77" s="27">
        <f t="shared" si="7"/>
        <v>9.6028909710529659E-2</v>
      </c>
      <c r="J77" s="25">
        <f t="shared" si="63"/>
        <v>0.10999999999999943</v>
      </c>
      <c r="K77" s="25">
        <f t="shared" si="64"/>
        <v>0.10999999999999943</v>
      </c>
      <c r="L77" s="25">
        <f t="shared" si="65"/>
        <v>0</v>
      </c>
      <c r="M77" s="25">
        <f t="shared" ref="M77:N77" si="75">AVERAGE(K64:K77)</f>
        <v>0.17714250000000117</v>
      </c>
      <c r="N77" s="25">
        <f t="shared" si="75"/>
        <v>0.12642778571428742</v>
      </c>
      <c r="O77" s="25">
        <f t="shared" si="9"/>
        <v>1.4011358262678373</v>
      </c>
      <c r="P77" s="25">
        <f t="shared" si="10"/>
        <v>58.35304321145663</v>
      </c>
      <c r="Q77" s="25">
        <f t="shared" si="61"/>
        <v>0.68999499999999614</v>
      </c>
      <c r="R77" s="25">
        <f t="shared" si="5"/>
        <v>0.6692847857142864</v>
      </c>
      <c r="S77" s="25">
        <f t="shared" ref="S77:S140" si="76">AVERAGE(E66:E77)</f>
        <v>64.755001000000007</v>
      </c>
      <c r="T77" s="20">
        <v>64.54113879759359</v>
      </c>
      <c r="U77" s="20">
        <v>0.20276358586454535</v>
      </c>
      <c r="V77" s="20">
        <v>0.20944935544251173</v>
      </c>
      <c r="W77" s="20">
        <v>-6.6857695779663773E-3</v>
      </c>
    </row>
    <row r="78" spans="1:23" x14ac:dyDescent="0.35">
      <c r="A78" s="26">
        <v>42821</v>
      </c>
      <c r="B78" s="25">
        <v>64.629997000000003</v>
      </c>
      <c r="C78" s="25">
        <v>65.220000999999996</v>
      </c>
      <c r="D78" s="25">
        <v>64.349997999999999</v>
      </c>
      <c r="E78" s="25">
        <v>65.099997999999999</v>
      </c>
      <c r="F78" s="25">
        <v>18614700</v>
      </c>
      <c r="G78" s="25">
        <v>64.064194000000001</v>
      </c>
      <c r="H78" s="19">
        <f t="shared" si="62"/>
        <v>1.8448519550509153E-3</v>
      </c>
      <c r="I78" s="27">
        <f t="shared" si="7"/>
        <v>9.5987939739361358E-2</v>
      </c>
      <c r="J78" s="25">
        <f t="shared" si="63"/>
        <v>0.11999500000000296</v>
      </c>
      <c r="K78" s="25">
        <f t="shared" si="64"/>
        <v>0.11999500000000296</v>
      </c>
      <c r="L78" s="25">
        <f t="shared" si="65"/>
        <v>0</v>
      </c>
      <c r="M78" s="25">
        <f t="shared" ref="M78:N78" si="77">AVERAGE(K65:K78)</f>
        <v>0.1764275000000016</v>
      </c>
      <c r="N78" s="25">
        <f t="shared" si="77"/>
        <v>0.12642778571428742</v>
      </c>
      <c r="O78" s="25">
        <f t="shared" si="9"/>
        <v>1.3954804238896337</v>
      </c>
      <c r="P78" s="25">
        <f t="shared" si="10"/>
        <v>58.254720429889318</v>
      </c>
      <c r="Q78" s="25">
        <f t="shared" si="61"/>
        <v>0.87000299999999697</v>
      </c>
      <c r="R78" s="25">
        <f t="shared" si="5"/>
        <v>0.68928521428571499</v>
      </c>
      <c r="S78" s="25">
        <f t="shared" si="76"/>
        <v>64.785833916666675</v>
      </c>
      <c r="T78" s="20">
        <v>64.582535775549616</v>
      </c>
      <c r="U78" s="20">
        <v>0.21615054891495333</v>
      </c>
      <c r="V78" s="20">
        <v>0.21078959413700005</v>
      </c>
      <c r="W78" s="20">
        <v>5.3609547779532862E-3</v>
      </c>
    </row>
    <row r="79" spans="1:23" x14ac:dyDescent="0.35">
      <c r="A79" s="26">
        <v>42822</v>
      </c>
      <c r="B79" s="25">
        <v>64.959998999999996</v>
      </c>
      <c r="C79" s="25">
        <v>65.470000999999996</v>
      </c>
      <c r="D79" s="25">
        <v>64.650002000000001</v>
      </c>
      <c r="E79" s="25">
        <v>65.290001000000004</v>
      </c>
      <c r="F79" s="25">
        <v>20080400</v>
      </c>
      <c r="G79" s="25">
        <v>64.251175000000003</v>
      </c>
      <c r="H79" s="19">
        <f t="shared" si="62"/>
        <v>2.9143996359016376E-3</v>
      </c>
      <c r="I79" s="27">
        <f t="shared" si="7"/>
        <v>8.8874005504063269E-2</v>
      </c>
      <c r="J79" s="25">
        <f t="shared" si="63"/>
        <v>0.19000300000000436</v>
      </c>
      <c r="K79" s="25">
        <f t="shared" si="64"/>
        <v>0.19000300000000436</v>
      </c>
      <c r="L79" s="25">
        <f t="shared" si="65"/>
        <v>0</v>
      </c>
      <c r="M79" s="25">
        <f t="shared" ref="M79:N79" si="78">AVERAGE(K66:K79)</f>
        <v>0.14785657142857339</v>
      </c>
      <c r="N79" s="25">
        <f t="shared" si="78"/>
        <v>0.12642778571428742</v>
      </c>
      <c r="O79" s="25">
        <f t="shared" si="9"/>
        <v>1.1694942736932261</v>
      </c>
      <c r="P79" s="25">
        <f t="shared" si="10"/>
        <v>53.906308390588386</v>
      </c>
      <c r="Q79" s="25">
        <f t="shared" si="61"/>
        <v>0.8199989999999957</v>
      </c>
      <c r="R79" s="25">
        <f t="shared" ref="R79:R142" si="79">AVERAGE(Q66:Q79)</f>
        <v>0.68857071428571515</v>
      </c>
      <c r="S79" s="25">
        <f t="shared" si="76"/>
        <v>64.815833999999995</v>
      </c>
      <c r="T79" s="20">
        <v>64.634940606990384</v>
      </c>
      <c r="U79" s="20">
        <v>0.23933259063348089</v>
      </c>
      <c r="V79" s="20">
        <v>0.21649819343629623</v>
      </c>
      <c r="W79" s="20">
        <v>2.2834397197184664E-2</v>
      </c>
    </row>
    <row r="80" spans="1:23" x14ac:dyDescent="0.35">
      <c r="A80" s="26">
        <v>42823</v>
      </c>
      <c r="B80" s="25">
        <v>65.120002999999997</v>
      </c>
      <c r="C80" s="25">
        <v>65.5</v>
      </c>
      <c r="D80" s="25">
        <v>64.949996999999996</v>
      </c>
      <c r="E80" s="25">
        <v>65.470000999999996</v>
      </c>
      <c r="F80" s="25">
        <v>13618400</v>
      </c>
      <c r="G80" s="25">
        <v>64.428321999999994</v>
      </c>
      <c r="H80" s="19">
        <f t="shared" si="62"/>
        <v>2.7533074971250945E-3</v>
      </c>
      <c r="I80" s="27">
        <f t="shared" si="7"/>
        <v>8.7089245133330134E-2</v>
      </c>
      <c r="J80" s="25">
        <f t="shared" si="63"/>
        <v>0.17999999999999261</v>
      </c>
      <c r="K80" s="25">
        <f t="shared" si="64"/>
        <v>0.17999999999999261</v>
      </c>
      <c r="L80" s="25">
        <f t="shared" si="65"/>
        <v>0</v>
      </c>
      <c r="M80" s="25">
        <f t="shared" ref="M80:N80" si="80">AVERAGE(K67:K80)</f>
        <v>0.16071371428571574</v>
      </c>
      <c r="N80" s="25">
        <f t="shared" si="80"/>
        <v>0.10785671428571574</v>
      </c>
      <c r="O80" s="25">
        <f t="shared" si="9"/>
        <v>1.4900668479477337</v>
      </c>
      <c r="P80" s="25">
        <f t="shared" si="10"/>
        <v>59.84043557608981</v>
      </c>
      <c r="Q80" s="25">
        <f t="shared" si="61"/>
        <v>0.55000300000000379</v>
      </c>
      <c r="R80" s="25">
        <f t="shared" si="79"/>
        <v>0.6764285000000011</v>
      </c>
      <c r="S80" s="25">
        <f t="shared" si="76"/>
        <v>64.879167500000008</v>
      </c>
      <c r="T80" s="20">
        <v>64.696796932398499</v>
      </c>
      <c r="U80" s="20">
        <v>0.26912669636014641</v>
      </c>
      <c r="V80" s="20">
        <v>0.22702389402106629</v>
      </c>
      <c r="W80" s="20">
        <v>4.210280233908012E-2</v>
      </c>
    </row>
    <row r="81" spans="1:23" x14ac:dyDescent="0.35">
      <c r="A81" s="26">
        <v>42824</v>
      </c>
      <c r="B81" s="25">
        <v>65.419998000000007</v>
      </c>
      <c r="C81" s="25">
        <v>65.980002999999996</v>
      </c>
      <c r="D81" s="25">
        <v>65.360000999999997</v>
      </c>
      <c r="E81" s="25">
        <v>65.709998999999996</v>
      </c>
      <c r="F81" s="25">
        <v>15122800</v>
      </c>
      <c r="G81" s="25">
        <v>64.664496999999997</v>
      </c>
      <c r="H81" s="19">
        <f t="shared" si="62"/>
        <v>3.6589992429856715E-3</v>
      </c>
      <c r="I81" s="27">
        <f t="shared" ref="I81:I144" si="81">STDEV(H68:H81)*SQRT(252)</f>
        <v>8.7413151353570459E-2</v>
      </c>
      <c r="J81" s="25">
        <f t="shared" si="63"/>
        <v>0.23999799999999993</v>
      </c>
      <c r="K81" s="25">
        <f t="shared" si="64"/>
        <v>0.23999799999999993</v>
      </c>
      <c r="L81" s="25">
        <f t="shared" si="65"/>
        <v>0</v>
      </c>
      <c r="M81" s="25">
        <f t="shared" ref="M81:N81" si="82">AVERAGE(K68:K81)</f>
        <v>0.16357092857142927</v>
      </c>
      <c r="N81" s="25">
        <f t="shared" si="82"/>
        <v>0.10785671428571574</v>
      </c>
      <c r="O81" s="25">
        <f t="shared" ref="O81:O144" si="83">M81/N81</f>
        <v>1.5165576816861386</v>
      </c>
      <c r="P81" s="25">
        <f t="shared" ref="P81:P144" si="84">IF(N81=0,100,100-(100/(1+O81)))</f>
        <v>60.263179847720309</v>
      </c>
      <c r="Q81" s="25">
        <f t="shared" si="61"/>
        <v>0.6200019999999995</v>
      </c>
      <c r="R81" s="25">
        <f t="shared" si="79"/>
        <v>0.68428564285714388</v>
      </c>
      <c r="S81" s="25">
        <f t="shared" si="76"/>
        <v>64.987500416666663</v>
      </c>
      <c r="T81" s="20">
        <v>64.77184893740602</v>
      </c>
      <c r="U81" s="20">
        <v>0.30854782538975201</v>
      </c>
      <c r="V81" s="20">
        <v>0.24332868029480342</v>
      </c>
      <c r="W81" s="20">
        <v>6.5219145094948583E-2</v>
      </c>
    </row>
    <row r="82" spans="1:23" x14ac:dyDescent="0.35">
      <c r="A82" s="26">
        <v>42825</v>
      </c>
      <c r="B82" s="25">
        <v>65.650002000000001</v>
      </c>
      <c r="C82" s="25">
        <v>66.190002000000007</v>
      </c>
      <c r="D82" s="25">
        <v>65.449996999999996</v>
      </c>
      <c r="E82" s="25">
        <v>65.860000999999997</v>
      </c>
      <c r="F82" s="25">
        <v>21040300</v>
      </c>
      <c r="G82" s="25">
        <v>64.812111000000002</v>
      </c>
      <c r="H82" s="19">
        <f t="shared" si="62"/>
        <v>2.280165757133243E-3</v>
      </c>
      <c r="I82" s="27">
        <f t="shared" si="81"/>
        <v>8.5359940289230177E-2</v>
      </c>
      <c r="J82" s="25">
        <f t="shared" si="63"/>
        <v>0.15000200000000063</v>
      </c>
      <c r="K82" s="25">
        <f t="shared" si="64"/>
        <v>0.15000200000000063</v>
      </c>
      <c r="L82" s="25">
        <f t="shared" si="65"/>
        <v>0</v>
      </c>
      <c r="M82" s="25">
        <f t="shared" ref="M82:N82" si="85">AVERAGE(K69:K82)</f>
        <v>0.17428535714285789</v>
      </c>
      <c r="N82" s="25">
        <f t="shared" si="85"/>
        <v>9.2142357142857831E-2</v>
      </c>
      <c r="O82" s="25">
        <f t="shared" si="83"/>
        <v>1.8914792560889806</v>
      </c>
      <c r="P82" s="25">
        <f t="shared" si="84"/>
        <v>65.41562600201388</v>
      </c>
      <c r="Q82" s="25">
        <f t="shared" si="61"/>
        <v>0.74000500000001068</v>
      </c>
      <c r="R82" s="25">
        <f t="shared" si="79"/>
        <v>0.69285728571428662</v>
      </c>
      <c r="S82" s="25">
        <f t="shared" si="76"/>
        <v>65.080000499999997</v>
      </c>
      <c r="T82" s="20">
        <v>64.852452793894471</v>
      </c>
      <c r="U82" s="20">
        <v>0.34788308231733822</v>
      </c>
      <c r="V82" s="20">
        <v>0.26423956069931037</v>
      </c>
      <c r="W82" s="20">
        <v>8.364352161802785E-2</v>
      </c>
    </row>
    <row r="83" spans="1:23" x14ac:dyDescent="0.35">
      <c r="A83" s="26">
        <v>42828</v>
      </c>
      <c r="B83" s="25">
        <v>65.809997999999993</v>
      </c>
      <c r="C83" s="25">
        <v>65.940002000000007</v>
      </c>
      <c r="D83" s="25">
        <v>65.190002000000007</v>
      </c>
      <c r="E83" s="25">
        <v>65.550003000000004</v>
      </c>
      <c r="F83" s="25">
        <v>20400900</v>
      </c>
      <c r="G83" s="25">
        <v>64.507041999999998</v>
      </c>
      <c r="H83" s="19">
        <f t="shared" si="62"/>
        <v>-4.7180879063099352E-3</v>
      </c>
      <c r="I83" s="27">
        <f t="shared" si="81"/>
        <v>8.5456011406370214E-2</v>
      </c>
      <c r="J83" s="25">
        <f t="shared" si="63"/>
        <v>-0.30999799999999311</v>
      </c>
      <c r="K83" s="25">
        <f t="shared" si="64"/>
        <v>0</v>
      </c>
      <c r="L83" s="25">
        <f t="shared" si="65"/>
        <v>0.30999799999999311</v>
      </c>
      <c r="M83" s="25">
        <f t="shared" ref="M83:N83" si="86">AVERAGE(K70:K83)</f>
        <v>0.17428535714285789</v>
      </c>
      <c r="N83" s="25">
        <f t="shared" si="86"/>
        <v>9.2856857142857657E-2</v>
      </c>
      <c r="O83" s="25">
        <f t="shared" si="83"/>
        <v>1.8769250059230929</v>
      </c>
      <c r="P83" s="25">
        <f t="shared" si="84"/>
        <v>65.240665017643067</v>
      </c>
      <c r="Q83" s="25">
        <f t="shared" si="61"/>
        <v>0.75</v>
      </c>
      <c r="R83" s="25">
        <f t="shared" si="79"/>
        <v>0.71785721428571492</v>
      </c>
      <c r="S83" s="25">
        <f t="shared" si="76"/>
        <v>65.155834166666679</v>
      </c>
      <c r="T83" s="20">
        <v>64.904123179531922</v>
      </c>
      <c r="U83" s="20">
        <v>0.35000763880114505</v>
      </c>
      <c r="V83" s="20">
        <v>0.28139317631967731</v>
      </c>
      <c r="W83" s="20">
        <v>6.8614462481467742E-2</v>
      </c>
    </row>
    <row r="84" spans="1:23" x14ac:dyDescent="0.35">
      <c r="A84" s="26">
        <v>42829</v>
      </c>
      <c r="B84" s="25">
        <v>65.389999000000003</v>
      </c>
      <c r="C84" s="25">
        <v>65.809997999999993</v>
      </c>
      <c r="D84" s="25">
        <v>65.279999000000004</v>
      </c>
      <c r="E84" s="25">
        <v>65.730002999999996</v>
      </c>
      <c r="F84" s="25">
        <v>12997400</v>
      </c>
      <c r="G84" s="25">
        <v>64.684180999999995</v>
      </c>
      <c r="H84" s="19">
        <f t="shared" si="62"/>
        <v>2.7422777940322258E-3</v>
      </c>
      <c r="I84" s="27">
        <f t="shared" si="81"/>
        <v>8.3814923065038252E-2</v>
      </c>
      <c r="J84" s="25">
        <f t="shared" si="63"/>
        <v>0.17999999999999261</v>
      </c>
      <c r="K84" s="25">
        <f t="shared" si="64"/>
        <v>0.17999999999999261</v>
      </c>
      <c r="L84" s="25">
        <f t="shared" si="65"/>
        <v>0</v>
      </c>
      <c r="M84" s="25">
        <f t="shared" ref="M84:N84" si="87">AVERAGE(K71:K84)</f>
        <v>0.1628570714285717</v>
      </c>
      <c r="N84" s="25">
        <f t="shared" si="87"/>
        <v>9.2856857142857657E-2</v>
      </c>
      <c r="O84" s="25">
        <f t="shared" si="83"/>
        <v>1.7538507810793196</v>
      </c>
      <c r="P84" s="25">
        <f t="shared" si="84"/>
        <v>63.687211853647746</v>
      </c>
      <c r="Q84" s="25">
        <f t="shared" si="61"/>
        <v>0.52999899999998945</v>
      </c>
      <c r="R84" s="25">
        <f t="shared" si="79"/>
        <v>0.70785728571428508</v>
      </c>
      <c r="S84" s="25">
        <f t="shared" si="76"/>
        <v>65.227500833333337</v>
      </c>
      <c r="T84" s="20">
        <v>64.965299462529558</v>
      </c>
      <c r="U84" s="20">
        <v>0.36204246067534029</v>
      </c>
      <c r="V84" s="20">
        <v>0.29752303319080992</v>
      </c>
      <c r="W84" s="20">
        <v>6.4519427484530378E-2</v>
      </c>
    </row>
    <row r="85" spans="1:23" x14ac:dyDescent="0.35">
      <c r="A85" s="26">
        <v>42830</v>
      </c>
      <c r="B85" s="25">
        <v>66.300003000000004</v>
      </c>
      <c r="C85" s="25">
        <v>66.349997999999999</v>
      </c>
      <c r="D85" s="25">
        <v>65.440002000000007</v>
      </c>
      <c r="E85" s="25">
        <v>65.559997999999993</v>
      </c>
      <c r="F85" s="25">
        <v>21448600</v>
      </c>
      <c r="G85" s="25">
        <v>64.516875999999996</v>
      </c>
      <c r="H85" s="19">
        <f t="shared" si="62"/>
        <v>-2.5898409409048544E-3</v>
      </c>
      <c r="I85" s="27">
        <f t="shared" si="81"/>
        <v>8.4467877322287346E-2</v>
      </c>
      <c r="J85" s="25">
        <f t="shared" si="63"/>
        <v>-0.17000500000000329</v>
      </c>
      <c r="K85" s="25">
        <f t="shared" si="64"/>
        <v>0</v>
      </c>
      <c r="L85" s="25">
        <f t="shared" si="65"/>
        <v>0.17000500000000329</v>
      </c>
      <c r="M85" s="25">
        <f t="shared" ref="M85:N85" si="88">AVERAGE(K72:K85)</f>
        <v>0.1628570714285717</v>
      </c>
      <c r="N85" s="25">
        <f t="shared" si="88"/>
        <v>9.7142857142858113E-2</v>
      </c>
      <c r="O85" s="25">
        <f t="shared" si="83"/>
        <v>1.6764698529411626</v>
      </c>
      <c r="P85" s="25">
        <f t="shared" si="84"/>
        <v>62.63735237289881</v>
      </c>
      <c r="Q85" s="25">
        <f t="shared" si="61"/>
        <v>0.90999599999999248</v>
      </c>
      <c r="R85" s="25">
        <f t="shared" si="79"/>
        <v>0.73999992857142771</v>
      </c>
      <c r="S85" s="25">
        <f t="shared" si="76"/>
        <v>65.280000666666666</v>
      </c>
      <c r="T85" s="20">
        <v>65.009351206045892</v>
      </c>
      <c r="U85" s="20">
        <v>0.35378395974287002</v>
      </c>
      <c r="V85" s="20">
        <v>0.30877521850122192</v>
      </c>
      <c r="W85" s="20">
        <v>4.5008741241648109E-2</v>
      </c>
    </row>
    <row r="86" spans="1:23" x14ac:dyDescent="0.35">
      <c r="A86" s="26">
        <v>42831</v>
      </c>
      <c r="B86" s="25">
        <v>65.599997999999999</v>
      </c>
      <c r="C86" s="25">
        <v>66.059997999999993</v>
      </c>
      <c r="D86" s="25">
        <v>65.480002999999996</v>
      </c>
      <c r="E86" s="25">
        <v>65.730002999999996</v>
      </c>
      <c r="F86" s="25">
        <v>18103500</v>
      </c>
      <c r="G86" s="25">
        <v>64.684180999999995</v>
      </c>
      <c r="H86" s="19">
        <f t="shared" si="62"/>
        <v>2.5898409409048986E-3</v>
      </c>
      <c r="I86" s="27">
        <f t="shared" si="81"/>
        <v>8.4003911522375491E-2</v>
      </c>
      <c r="J86" s="25">
        <f t="shared" si="63"/>
        <v>0.17000500000000329</v>
      </c>
      <c r="K86" s="25">
        <f t="shared" si="64"/>
        <v>0.17000500000000329</v>
      </c>
      <c r="L86" s="25">
        <f t="shared" si="65"/>
        <v>0</v>
      </c>
      <c r="M86" s="25">
        <f t="shared" ref="M86:N86" si="89">AVERAGE(K73:K86)</f>
        <v>0.1585714285714295</v>
      </c>
      <c r="N86" s="25">
        <f t="shared" si="89"/>
        <v>9.7142857142858113E-2</v>
      </c>
      <c r="O86" s="25">
        <f t="shared" si="83"/>
        <v>1.6323529411764639</v>
      </c>
      <c r="P86" s="25">
        <f t="shared" si="84"/>
        <v>62.011173184357446</v>
      </c>
      <c r="Q86" s="25">
        <f t="shared" si="61"/>
        <v>0.57999499999999671</v>
      </c>
      <c r="R86" s="25">
        <f t="shared" si="79"/>
        <v>0.7414282857142851</v>
      </c>
      <c r="S86" s="25">
        <f t="shared" si="76"/>
        <v>65.40666766666665</v>
      </c>
      <c r="T86" s="20">
        <v>65.062732820412862</v>
      </c>
      <c r="U86" s="20">
        <v>0.35684355063916939</v>
      </c>
      <c r="V86" s="20">
        <v>0.31838888492881146</v>
      </c>
      <c r="W86" s="20">
        <v>3.8454665710357938E-2</v>
      </c>
    </row>
    <row r="87" spans="1:23" x14ac:dyDescent="0.35">
      <c r="A87" s="26">
        <v>42832</v>
      </c>
      <c r="B87" s="25">
        <v>65.849997999999999</v>
      </c>
      <c r="C87" s="25">
        <v>65.959998999999996</v>
      </c>
      <c r="D87" s="25">
        <v>65.440002000000007</v>
      </c>
      <c r="E87" s="25">
        <v>65.680000000000007</v>
      </c>
      <c r="F87" s="25">
        <v>14108500</v>
      </c>
      <c r="G87" s="25">
        <v>64.634979000000001</v>
      </c>
      <c r="H87" s="19">
        <f t="shared" si="62"/>
        <v>-7.6093909632732944E-4</v>
      </c>
      <c r="I87" s="27">
        <f t="shared" si="81"/>
        <v>8.4313998248850761E-2</v>
      </c>
      <c r="J87" s="25">
        <f t="shared" si="63"/>
        <v>-5.0002999999989584E-2</v>
      </c>
      <c r="K87" s="25">
        <f t="shared" si="64"/>
        <v>0</v>
      </c>
      <c r="L87" s="25">
        <f t="shared" si="65"/>
        <v>5.0002999999989584E-2</v>
      </c>
      <c r="M87" s="25">
        <f t="shared" ref="M87:N87" si="90">AVERAGE(K74:K87)</f>
        <v>0.15428592857142881</v>
      </c>
      <c r="N87" s="25">
        <f t="shared" si="90"/>
        <v>0.10071450000000023</v>
      </c>
      <c r="O87" s="25">
        <f t="shared" si="83"/>
        <v>1.5319137618856118</v>
      </c>
      <c r="P87" s="25">
        <f t="shared" si="84"/>
        <v>60.504184026581449</v>
      </c>
      <c r="Q87" s="25">
        <f t="shared" si="61"/>
        <v>0.51999699999998938</v>
      </c>
      <c r="R87" s="25">
        <f t="shared" si="79"/>
        <v>0.74571385714285499</v>
      </c>
      <c r="S87" s="25">
        <f t="shared" si="76"/>
        <v>65.460834416666671</v>
      </c>
      <c r="T87" s="20">
        <v>65.108456315197103</v>
      </c>
      <c r="U87" s="20">
        <v>0.35118522953924014</v>
      </c>
      <c r="V87" s="20">
        <v>0.3249481538508972</v>
      </c>
      <c r="W87" s="20">
        <v>2.6237075688342937E-2</v>
      </c>
    </row>
    <row r="88" spans="1:23" x14ac:dyDescent="0.35">
      <c r="A88" s="26">
        <v>42835</v>
      </c>
      <c r="B88" s="25">
        <v>65.610000999999997</v>
      </c>
      <c r="C88" s="25">
        <v>65.819999999999993</v>
      </c>
      <c r="D88" s="25">
        <v>65.360000999999997</v>
      </c>
      <c r="E88" s="25">
        <v>65.529999000000004</v>
      </c>
      <c r="F88" s="25">
        <v>17952700</v>
      </c>
      <c r="G88" s="25">
        <v>64.487358</v>
      </c>
      <c r="H88" s="19">
        <f t="shared" si="62"/>
        <v>-2.2865302432724614E-3</v>
      </c>
      <c r="I88" s="27">
        <f t="shared" si="81"/>
        <v>6.6401625730964114E-2</v>
      </c>
      <c r="J88" s="25">
        <f t="shared" si="63"/>
        <v>-0.15000100000000316</v>
      </c>
      <c r="K88" s="25">
        <f t="shared" si="64"/>
        <v>0</v>
      </c>
      <c r="L88" s="25">
        <f t="shared" si="65"/>
        <v>0.15000100000000316</v>
      </c>
      <c r="M88" s="25">
        <f t="shared" ref="M88:N88" si="91">AVERAGE(K75:K88)</f>
        <v>0.15428592857142881</v>
      </c>
      <c r="N88" s="25">
        <f t="shared" si="91"/>
        <v>6.000021428571399E-2</v>
      </c>
      <c r="O88" s="25">
        <f t="shared" si="83"/>
        <v>2.5714229592037339</v>
      </c>
      <c r="P88" s="25">
        <f t="shared" si="84"/>
        <v>71.999956000088133</v>
      </c>
      <c r="Q88" s="25">
        <f t="shared" si="61"/>
        <v>0.45999899999999627</v>
      </c>
      <c r="R88" s="25">
        <f t="shared" si="79"/>
        <v>0.68071357142856925</v>
      </c>
      <c r="S88" s="25">
        <f t="shared" si="76"/>
        <v>65.515834083333331</v>
      </c>
      <c r="T88" s="20">
        <v>65.13968169925657</v>
      </c>
      <c r="U88" s="20">
        <v>0.33078406936648719</v>
      </c>
      <c r="V88" s="20">
        <v>0.32611533695401518</v>
      </c>
      <c r="W88" s="20">
        <v>4.6687324124720098E-3</v>
      </c>
    </row>
    <row r="89" spans="1:23" x14ac:dyDescent="0.35">
      <c r="A89" s="26">
        <v>42836</v>
      </c>
      <c r="B89" s="25">
        <v>65.599997999999999</v>
      </c>
      <c r="C89" s="25">
        <v>65.610000999999997</v>
      </c>
      <c r="D89" s="25">
        <v>64.849997999999999</v>
      </c>
      <c r="E89" s="25">
        <v>65.480002999999996</v>
      </c>
      <c r="F89" s="25">
        <v>18791500</v>
      </c>
      <c r="G89" s="25">
        <v>64.438156000000006</v>
      </c>
      <c r="H89" s="19">
        <f t="shared" si="62"/>
        <v>-7.6326245848628031E-4</v>
      </c>
      <c r="I89" s="27">
        <f t="shared" si="81"/>
        <v>4.2502916607515116E-2</v>
      </c>
      <c r="J89" s="25">
        <f t="shared" si="63"/>
        <v>-4.9996000000007257E-2</v>
      </c>
      <c r="K89" s="25">
        <f t="shared" si="64"/>
        <v>0</v>
      </c>
      <c r="L89" s="25">
        <f t="shared" si="65"/>
        <v>4.9996000000007257E-2</v>
      </c>
      <c r="M89" s="25">
        <f t="shared" ref="M89:N89" si="92">AVERAGE(K76:K89)</f>
        <v>9.5714499999999703E-2</v>
      </c>
      <c r="N89" s="25">
        <f t="shared" si="92"/>
        <v>6.357135714285736E-2</v>
      </c>
      <c r="O89" s="25">
        <f t="shared" si="83"/>
        <v>1.5056230400258779</v>
      </c>
      <c r="P89" s="25">
        <f t="shared" si="84"/>
        <v>60.089766735635052</v>
      </c>
      <c r="Q89" s="25">
        <f t="shared" si="61"/>
        <v>0.76000299999999754</v>
      </c>
      <c r="R89" s="25">
        <f t="shared" si="79"/>
        <v>0.66214264285714008</v>
      </c>
      <c r="S89" s="25">
        <f t="shared" si="76"/>
        <v>65.557500749999988</v>
      </c>
      <c r="T89" s="20">
        <v>65.164890684496825</v>
      </c>
      <c r="U89" s="20">
        <v>0.30704235049191198</v>
      </c>
      <c r="V89" s="20">
        <v>0.32230073966159456</v>
      </c>
      <c r="W89" s="20">
        <v>-1.5258389169682585E-2</v>
      </c>
    </row>
    <row r="90" spans="1:23" x14ac:dyDescent="0.35">
      <c r="A90" s="26">
        <v>42837</v>
      </c>
      <c r="B90" s="25">
        <v>65.419998000000007</v>
      </c>
      <c r="C90" s="25">
        <v>65.510002</v>
      </c>
      <c r="D90" s="25">
        <v>65.110000999999997</v>
      </c>
      <c r="E90" s="25">
        <v>65.230002999999996</v>
      </c>
      <c r="F90" s="25">
        <v>17108500</v>
      </c>
      <c r="G90" s="25">
        <v>64.192131000000003</v>
      </c>
      <c r="H90" s="19">
        <f t="shared" si="62"/>
        <v>-3.8253090426003953E-3</v>
      </c>
      <c r="I90" s="27">
        <f t="shared" si="81"/>
        <v>4.4676173977667877E-2</v>
      </c>
      <c r="J90" s="25">
        <f t="shared" si="63"/>
        <v>-0.25</v>
      </c>
      <c r="K90" s="25">
        <f t="shared" si="64"/>
        <v>0</v>
      </c>
      <c r="L90" s="25">
        <f t="shared" si="65"/>
        <v>0.25</v>
      </c>
      <c r="M90" s="25">
        <f t="shared" ref="M90:N90" si="93">AVERAGE(K77:K90)</f>
        <v>9.5714499999999703E-2</v>
      </c>
      <c r="N90" s="25">
        <f t="shared" si="93"/>
        <v>7.0000214285714027E-2</v>
      </c>
      <c r="O90" s="25">
        <f t="shared" si="83"/>
        <v>1.3673458142475081</v>
      </c>
      <c r="P90" s="25">
        <f t="shared" si="84"/>
        <v>57.758600624308741</v>
      </c>
      <c r="Q90" s="25">
        <f t="shared" si="61"/>
        <v>0.40000100000000316</v>
      </c>
      <c r="R90" s="25">
        <f t="shared" si="79"/>
        <v>0.65714264285714052</v>
      </c>
      <c r="S90" s="25">
        <f t="shared" si="76"/>
        <v>65.568334500000006</v>
      </c>
      <c r="T90" s="20">
        <v>65.169713818978536</v>
      </c>
      <c r="U90" s="20">
        <v>0.26499921062732312</v>
      </c>
      <c r="V90" s="20">
        <v>0.31084043385474025</v>
      </c>
      <c r="W90" s="20">
        <v>-4.5841223227417127E-2</v>
      </c>
    </row>
    <row r="91" spans="1:23" x14ac:dyDescent="0.35">
      <c r="A91" s="26">
        <v>42838</v>
      </c>
      <c r="B91" s="25">
        <v>65.290001000000004</v>
      </c>
      <c r="C91" s="25">
        <v>65.860000999999997</v>
      </c>
      <c r="D91" s="25">
        <v>64.949996999999996</v>
      </c>
      <c r="E91" s="25">
        <v>64.949996999999996</v>
      </c>
      <c r="F91" s="25">
        <v>17896500</v>
      </c>
      <c r="G91" s="25">
        <v>63.916584</v>
      </c>
      <c r="H91" s="19">
        <f t="shared" si="62"/>
        <v>-4.3017748624274441E-3</v>
      </c>
      <c r="I91" s="27">
        <f t="shared" si="81"/>
        <v>4.8385342498074385E-2</v>
      </c>
      <c r="J91" s="25">
        <f t="shared" si="63"/>
        <v>-0.2800060000000002</v>
      </c>
      <c r="K91" s="25">
        <f t="shared" si="64"/>
        <v>0</v>
      </c>
      <c r="L91" s="25">
        <f t="shared" si="65"/>
        <v>0.2800060000000002</v>
      </c>
      <c r="M91" s="25">
        <f t="shared" ref="M91:N91" si="94">AVERAGE(K78:K91)</f>
        <v>8.785735714285689E-2</v>
      </c>
      <c r="N91" s="25">
        <f t="shared" si="94"/>
        <v>9.0000642857142613E-2</v>
      </c>
      <c r="O91" s="25">
        <f t="shared" si="83"/>
        <v>0.97618588438653997</v>
      </c>
      <c r="P91" s="25">
        <f t="shared" si="84"/>
        <v>49.397472783263694</v>
      </c>
      <c r="Q91" s="25">
        <f t="shared" si="61"/>
        <v>0.9100040000000007</v>
      </c>
      <c r="R91" s="25">
        <f t="shared" si="79"/>
        <v>0.6728575714285695</v>
      </c>
      <c r="S91" s="25">
        <f t="shared" si="76"/>
        <v>65.540000833333337</v>
      </c>
      <c r="T91" s="20">
        <v>65.153438499054204</v>
      </c>
      <c r="U91" s="20">
        <v>0.20670283368922071</v>
      </c>
      <c r="V91" s="20">
        <v>0.29001291382163635</v>
      </c>
      <c r="W91" s="20">
        <v>-8.3310080132415643E-2</v>
      </c>
    </row>
    <row r="92" spans="1:23" x14ac:dyDescent="0.35">
      <c r="A92" s="26">
        <v>42842</v>
      </c>
      <c r="B92" s="25">
        <v>65.040001000000004</v>
      </c>
      <c r="C92" s="25">
        <v>65.489998</v>
      </c>
      <c r="D92" s="25">
        <v>65.010002</v>
      </c>
      <c r="E92" s="25">
        <v>65.480002999999996</v>
      </c>
      <c r="F92" s="25">
        <v>16689300</v>
      </c>
      <c r="G92" s="25">
        <v>64.438156000000006</v>
      </c>
      <c r="H92" s="19">
        <f t="shared" si="62"/>
        <v>8.1270839050278827E-3</v>
      </c>
      <c r="I92" s="27">
        <f t="shared" si="81"/>
        <v>5.9235969649387842E-2</v>
      </c>
      <c r="J92" s="25">
        <f t="shared" si="63"/>
        <v>0.5300060000000002</v>
      </c>
      <c r="K92" s="25">
        <f t="shared" si="64"/>
        <v>0.5300060000000002</v>
      </c>
      <c r="L92" s="25">
        <f t="shared" si="65"/>
        <v>0</v>
      </c>
      <c r="M92" s="25">
        <f t="shared" ref="M92:N92" si="95">AVERAGE(K79:K92)</f>
        <v>0.11714385714285669</v>
      </c>
      <c r="N92" s="25">
        <f t="shared" si="95"/>
        <v>9.0000642857142613E-2</v>
      </c>
      <c r="O92" s="25">
        <f t="shared" si="83"/>
        <v>1.3015891156332995</v>
      </c>
      <c r="P92" s="25">
        <f t="shared" si="84"/>
        <v>56.551758382605897</v>
      </c>
      <c r="Q92" s="25">
        <f t="shared" si="61"/>
        <v>0.47999599999999987</v>
      </c>
      <c r="R92" s="25">
        <f t="shared" si="79"/>
        <v>0.64499992857142685</v>
      </c>
      <c r="S92" s="25">
        <f t="shared" si="76"/>
        <v>65.540834333333336</v>
      </c>
      <c r="T92" s="20">
        <v>65.177628462087227</v>
      </c>
      <c r="U92" s="20">
        <v>0.20095312715720581</v>
      </c>
      <c r="V92" s="20">
        <v>0.27220095648875026</v>
      </c>
      <c r="W92" s="20">
        <v>-7.1247829331544443E-2</v>
      </c>
    </row>
    <row r="93" spans="1:23" x14ac:dyDescent="0.35">
      <c r="A93" s="26">
        <v>42843</v>
      </c>
      <c r="B93" s="25">
        <v>65.330001999999993</v>
      </c>
      <c r="C93" s="25">
        <v>65.709998999999996</v>
      </c>
      <c r="D93" s="25">
        <v>65.160004000000001</v>
      </c>
      <c r="E93" s="25">
        <v>65.389999000000003</v>
      </c>
      <c r="F93" s="25">
        <v>15155600</v>
      </c>
      <c r="G93" s="25">
        <v>64.349586000000002</v>
      </c>
      <c r="H93" s="19">
        <f t="shared" si="62"/>
        <v>-1.3754416777235986E-3</v>
      </c>
      <c r="I93" s="27">
        <f t="shared" si="81"/>
        <v>5.8519973863416133E-2</v>
      </c>
      <c r="J93" s="25">
        <f t="shared" si="63"/>
        <v>-9.0003999999993312E-2</v>
      </c>
      <c r="K93" s="25">
        <f t="shared" si="64"/>
        <v>0</v>
      </c>
      <c r="L93" s="25">
        <f t="shared" si="65"/>
        <v>9.0003999999993312E-2</v>
      </c>
      <c r="M93" s="25">
        <f t="shared" ref="M93:N93" si="96">AVERAGE(K80:K93)</f>
        <v>0.10357221428571352</v>
      </c>
      <c r="N93" s="25">
        <f t="shared" si="96"/>
        <v>9.642949999999928E-2</v>
      </c>
      <c r="O93" s="25">
        <f t="shared" si="83"/>
        <v>1.074071879307829</v>
      </c>
      <c r="P93" s="25">
        <f t="shared" si="84"/>
        <v>51.785663265743445</v>
      </c>
      <c r="Q93" s="25">
        <f t="shared" si="61"/>
        <v>0.54999499999999557</v>
      </c>
      <c r="R93" s="25">
        <f t="shared" si="79"/>
        <v>0.62571392857142683</v>
      </c>
      <c r="S93" s="25">
        <f t="shared" si="76"/>
        <v>65.51416766666668</v>
      </c>
      <c r="T93" s="20">
        <v>65.193359613043725</v>
      </c>
      <c r="U93" s="20">
        <v>0.18697850093234081</v>
      </c>
      <c r="V93" s="20">
        <v>0.25515646537746839</v>
      </c>
      <c r="W93" s="20">
        <v>-6.8177964445127581E-2</v>
      </c>
    </row>
    <row r="94" spans="1:23" x14ac:dyDescent="0.35">
      <c r="A94" s="26">
        <v>42844</v>
      </c>
      <c r="B94" s="25">
        <v>65.650002000000001</v>
      </c>
      <c r="C94" s="25">
        <v>65.75</v>
      </c>
      <c r="D94" s="25">
        <v>64.889999000000003</v>
      </c>
      <c r="E94" s="25">
        <v>65.040001000000004</v>
      </c>
      <c r="F94" s="25">
        <v>26992800</v>
      </c>
      <c r="G94" s="25">
        <v>64.005156999999997</v>
      </c>
      <c r="H94" s="19">
        <f t="shared" si="62"/>
        <v>-5.3668422165775789E-3</v>
      </c>
      <c r="I94" s="27">
        <f t="shared" si="81"/>
        <v>6.1474316789857993E-2</v>
      </c>
      <c r="J94" s="25">
        <f t="shared" si="63"/>
        <v>-0.34999799999999937</v>
      </c>
      <c r="K94" s="25">
        <f t="shared" si="64"/>
        <v>0</v>
      </c>
      <c r="L94" s="25">
        <f t="shared" si="65"/>
        <v>0.34999799999999937</v>
      </c>
      <c r="M94" s="25">
        <f t="shared" ref="M94:N94" si="97">AVERAGE(K81:K94)</f>
        <v>9.0715071428571187E-2</v>
      </c>
      <c r="N94" s="25">
        <f t="shared" si="97"/>
        <v>0.12142935714285638</v>
      </c>
      <c r="O94" s="25">
        <f t="shared" si="83"/>
        <v>0.74706046019702499</v>
      </c>
      <c r="P94" s="25">
        <f t="shared" si="84"/>
        <v>42.760996383191866</v>
      </c>
      <c r="Q94" s="25">
        <f t="shared" si="61"/>
        <v>0.86000099999999691</v>
      </c>
      <c r="R94" s="25">
        <f t="shared" si="79"/>
        <v>0.64785664285714062</v>
      </c>
      <c r="S94" s="25">
        <f t="shared" si="76"/>
        <v>65.445834333333337</v>
      </c>
      <c r="T94" s="20">
        <v>65.181999715781231</v>
      </c>
      <c r="U94" s="20">
        <v>0.14597884219851665</v>
      </c>
      <c r="V94" s="20">
        <v>0.23332094074167806</v>
      </c>
      <c r="W94" s="20">
        <v>-8.7342098543161412E-2</v>
      </c>
    </row>
    <row r="95" spans="1:23" x14ac:dyDescent="0.35">
      <c r="A95" s="26">
        <v>42845</v>
      </c>
      <c r="B95" s="25">
        <v>65.459998999999996</v>
      </c>
      <c r="C95" s="25">
        <v>65.75</v>
      </c>
      <c r="D95" s="25">
        <v>65.139999000000003</v>
      </c>
      <c r="E95" s="25">
        <v>65.5</v>
      </c>
      <c r="F95" s="25">
        <v>22299500</v>
      </c>
      <c r="G95" s="25">
        <v>64.457831999999996</v>
      </c>
      <c r="H95" s="19">
        <f t="shared" si="62"/>
        <v>7.0475843223148866E-3</v>
      </c>
      <c r="I95" s="27">
        <f t="shared" si="81"/>
        <v>6.7292687440039425E-2</v>
      </c>
      <c r="J95" s="25">
        <f t="shared" si="63"/>
        <v>0.45999899999999627</v>
      </c>
      <c r="K95" s="25">
        <f t="shared" si="64"/>
        <v>0.45999899999999627</v>
      </c>
      <c r="L95" s="25">
        <f t="shared" si="65"/>
        <v>0</v>
      </c>
      <c r="M95" s="25">
        <f t="shared" ref="M95:N95" si="98">AVERAGE(K82:K95)</f>
        <v>0.10642942857142808</v>
      </c>
      <c r="N95" s="25">
        <f t="shared" si="98"/>
        <v>0.12142935714285638</v>
      </c>
      <c r="O95" s="25">
        <f t="shared" si="83"/>
        <v>0.87647197576957003</v>
      </c>
      <c r="P95" s="25">
        <f t="shared" si="84"/>
        <v>46.708503355618483</v>
      </c>
      <c r="Q95" s="25">
        <f t="shared" si="61"/>
        <v>0.61000099999999691</v>
      </c>
      <c r="R95" s="25">
        <f t="shared" si="79"/>
        <v>0.64714228571428323</v>
      </c>
      <c r="S95" s="25">
        <f t="shared" si="76"/>
        <v>65.441667416666675</v>
      </c>
      <c r="T95" s="20">
        <v>65.205555292390031</v>
      </c>
      <c r="U95" s="20">
        <v>0.1488881028236051</v>
      </c>
      <c r="V95" s="20">
        <v>0.21643437315806349</v>
      </c>
      <c r="W95" s="20">
        <v>-6.7546270334458397E-2</v>
      </c>
    </row>
    <row r="96" spans="1:23" x14ac:dyDescent="0.35">
      <c r="A96" s="26">
        <v>42846</v>
      </c>
      <c r="B96" s="25">
        <v>65.669998000000007</v>
      </c>
      <c r="C96" s="25">
        <v>66.699996999999996</v>
      </c>
      <c r="D96" s="25">
        <v>65.449996999999996</v>
      </c>
      <c r="E96" s="25">
        <v>66.400002000000001</v>
      </c>
      <c r="F96" s="25">
        <v>32522600</v>
      </c>
      <c r="G96" s="25">
        <v>65.343513000000002</v>
      </c>
      <c r="H96" s="19">
        <f t="shared" si="62"/>
        <v>1.3646927088845308E-2</v>
      </c>
      <c r="I96" s="27">
        <f t="shared" si="81"/>
        <v>8.9216311131436965E-2</v>
      </c>
      <c r="J96" s="25">
        <f t="shared" si="63"/>
        <v>0.90000200000000063</v>
      </c>
      <c r="K96" s="25">
        <f t="shared" si="64"/>
        <v>0.90000200000000063</v>
      </c>
      <c r="L96" s="25">
        <f t="shared" si="65"/>
        <v>0</v>
      </c>
      <c r="M96" s="25">
        <f t="shared" ref="M96:N96" si="99">AVERAGE(K83:K96)</f>
        <v>0.16000085714285664</v>
      </c>
      <c r="N96" s="25">
        <f t="shared" si="99"/>
        <v>0.12142935714285638</v>
      </c>
      <c r="O96" s="25">
        <f t="shared" si="83"/>
        <v>1.317645591704999</v>
      </c>
      <c r="P96" s="25">
        <f t="shared" si="84"/>
        <v>56.85276456508003</v>
      </c>
      <c r="Q96" s="25">
        <f t="shared" si="61"/>
        <v>1.25</v>
      </c>
      <c r="R96" s="25">
        <f t="shared" si="79"/>
        <v>0.68357049999999675</v>
      </c>
      <c r="S96" s="25">
        <f t="shared" si="76"/>
        <v>65.497500666666653</v>
      </c>
      <c r="T96" s="20">
        <v>65.294032826287065</v>
      </c>
      <c r="U96" s="20">
        <v>0.22126573889370604</v>
      </c>
      <c r="V96" s="20">
        <v>0.21740064630519201</v>
      </c>
      <c r="W96" s="20">
        <v>3.8650925885140297E-3</v>
      </c>
    </row>
    <row r="97" spans="1:23" x14ac:dyDescent="0.35">
      <c r="A97" s="26">
        <v>42849</v>
      </c>
      <c r="B97" s="25">
        <v>67.480002999999996</v>
      </c>
      <c r="C97" s="25">
        <v>67.660004000000001</v>
      </c>
      <c r="D97" s="25">
        <v>67.099997999999999</v>
      </c>
      <c r="E97" s="25">
        <v>67.529999000000004</v>
      </c>
      <c r="F97" s="25">
        <v>29770000</v>
      </c>
      <c r="G97" s="25">
        <v>66.455535999999995</v>
      </c>
      <c r="H97" s="19">
        <f t="shared" si="62"/>
        <v>1.6874922799486276E-2</v>
      </c>
      <c r="I97" s="27">
        <f t="shared" si="81"/>
        <v>0.10915218576332728</v>
      </c>
      <c r="J97" s="25">
        <f t="shared" si="63"/>
        <v>1.129997000000003</v>
      </c>
      <c r="K97" s="25">
        <f t="shared" si="64"/>
        <v>1.129997000000003</v>
      </c>
      <c r="L97" s="25">
        <f t="shared" si="65"/>
        <v>0</v>
      </c>
      <c r="M97" s="25">
        <f t="shared" ref="M97:N97" si="100">AVERAGE(K84:K97)</f>
        <v>0.24071492857142829</v>
      </c>
      <c r="N97" s="25">
        <f t="shared" si="100"/>
        <v>9.9286642857142587E-2</v>
      </c>
      <c r="O97" s="25">
        <f t="shared" si="83"/>
        <v>2.4244442318165409</v>
      </c>
      <c r="P97" s="25">
        <f t="shared" si="84"/>
        <v>70.79818118487691</v>
      </c>
      <c r="Q97" s="25">
        <f t="shared" si="61"/>
        <v>0.56000600000000134</v>
      </c>
      <c r="R97" s="25">
        <f t="shared" si="79"/>
        <v>0.66999949999999686</v>
      </c>
      <c r="S97" s="25">
        <f t="shared" si="76"/>
        <v>65.66166741666666</v>
      </c>
      <c r="T97" s="20">
        <v>65.459659950265802</v>
      </c>
      <c r="U97" s="20">
        <v>0.36559252796408259</v>
      </c>
      <c r="V97" s="20">
        <v>0.24703902263697014</v>
      </c>
      <c r="W97" s="20">
        <v>0.11855350532711245</v>
      </c>
    </row>
    <row r="98" spans="1:23" x14ac:dyDescent="0.35">
      <c r="A98" s="26">
        <v>42850</v>
      </c>
      <c r="B98" s="25">
        <v>67.900002000000001</v>
      </c>
      <c r="C98" s="25">
        <v>68.040001000000004</v>
      </c>
      <c r="D98" s="25">
        <v>67.599997999999999</v>
      </c>
      <c r="E98" s="25">
        <v>67.919998000000007</v>
      </c>
      <c r="F98" s="25">
        <v>30242700</v>
      </c>
      <c r="G98" s="25">
        <v>66.839325000000002</v>
      </c>
      <c r="H98" s="19">
        <f t="shared" si="62"/>
        <v>5.7585124838572966E-3</v>
      </c>
      <c r="I98" s="27">
        <f t="shared" si="81"/>
        <v>0.11022734590239809</v>
      </c>
      <c r="J98" s="25">
        <f t="shared" si="63"/>
        <v>0.38999900000000309</v>
      </c>
      <c r="K98" s="25">
        <f t="shared" si="64"/>
        <v>0.38999900000000309</v>
      </c>
      <c r="L98" s="25">
        <f t="shared" si="65"/>
        <v>0</v>
      </c>
      <c r="M98" s="25">
        <f t="shared" ref="M98:N98" si="101">AVERAGE(K85:K98)</f>
        <v>0.25571485714285763</v>
      </c>
      <c r="N98" s="25">
        <f t="shared" si="101"/>
        <v>9.9286642857142587E-2</v>
      </c>
      <c r="O98" s="25">
        <f t="shared" si="83"/>
        <v>2.5755212361323361</v>
      </c>
      <c r="P98" s="25">
        <f t="shared" si="84"/>
        <v>72.032049763974939</v>
      </c>
      <c r="Q98" s="25">
        <f t="shared" si="61"/>
        <v>0.44000300000000436</v>
      </c>
      <c r="R98" s="25">
        <f t="shared" si="79"/>
        <v>0.6635712142857122</v>
      </c>
      <c r="S98" s="25">
        <f t="shared" si="76"/>
        <v>65.844166999999985</v>
      </c>
      <c r="T98" s="20">
        <v>65.64190721320908</v>
      </c>
      <c r="U98" s="20">
        <v>0.5056138068315903</v>
      </c>
      <c r="V98" s="20">
        <v>0.29875397947589422</v>
      </c>
      <c r="W98" s="20">
        <v>0.20685982735569608</v>
      </c>
    </row>
    <row r="99" spans="1:23" x14ac:dyDescent="0.35">
      <c r="A99" s="26">
        <v>42851</v>
      </c>
      <c r="B99" s="25">
        <v>68.080001999999993</v>
      </c>
      <c r="C99" s="25">
        <v>68.309997999999993</v>
      </c>
      <c r="D99" s="25">
        <v>67.620002999999997</v>
      </c>
      <c r="E99" s="25">
        <v>67.830001999999993</v>
      </c>
      <c r="F99" s="25">
        <v>26190800</v>
      </c>
      <c r="G99" s="25">
        <v>66.750771</v>
      </c>
      <c r="H99" s="19">
        <f t="shared" si="62"/>
        <v>-1.3257571574834483E-3</v>
      </c>
      <c r="I99" s="27">
        <f t="shared" si="81"/>
        <v>0.1092573951876212</v>
      </c>
      <c r="J99" s="25">
        <f t="shared" si="63"/>
        <v>-8.999600000001351E-2</v>
      </c>
      <c r="K99" s="25">
        <f t="shared" si="64"/>
        <v>0</v>
      </c>
      <c r="L99" s="25">
        <f t="shared" si="65"/>
        <v>8.999600000001351E-2</v>
      </c>
      <c r="M99" s="25">
        <f t="shared" ref="M99:N99" si="102">AVERAGE(K86:K99)</f>
        <v>0.25571485714285763</v>
      </c>
      <c r="N99" s="25">
        <f t="shared" si="102"/>
        <v>9.3571714285714744E-2</v>
      </c>
      <c r="O99" s="25">
        <f t="shared" si="83"/>
        <v>2.7328221898559009</v>
      </c>
      <c r="P99" s="25">
        <f t="shared" si="84"/>
        <v>73.210617888054202</v>
      </c>
      <c r="Q99" s="25">
        <f t="shared" si="61"/>
        <v>0.68999499999999614</v>
      </c>
      <c r="R99" s="25">
        <f t="shared" si="79"/>
        <v>0.64785685714285535</v>
      </c>
      <c r="S99" s="25">
        <f t="shared" si="76"/>
        <v>66.023333833333325</v>
      </c>
      <c r="T99" s="20">
        <v>65.803988308526925</v>
      </c>
      <c r="U99" s="20">
        <v>0.60237593919978849</v>
      </c>
      <c r="V99" s="20">
        <v>0.35947837142067307</v>
      </c>
      <c r="W99" s="20">
        <v>0.24289756777911542</v>
      </c>
    </row>
    <row r="100" spans="1:23" x14ac:dyDescent="0.35">
      <c r="A100" s="26">
        <v>42852</v>
      </c>
      <c r="B100" s="25">
        <v>68.150002000000001</v>
      </c>
      <c r="C100" s="25">
        <v>68.379997000000003</v>
      </c>
      <c r="D100" s="25">
        <v>67.580001999999993</v>
      </c>
      <c r="E100" s="25">
        <v>68.269997000000004</v>
      </c>
      <c r="F100" s="25">
        <v>34971000</v>
      </c>
      <c r="G100" s="25">
        <v>67.183762000000002</v>
      </c>
      <c r="H100" s="19">
        <f t="shared" si="62"/>
        <v>6.4657336499919461E-3</v>
      </c>
      <c r="I100" s="27">
        <f t="shared" si="81"/>
        <v>0.11059565393680221</v>
      </c>
      <c r="J100" s="25">
        <f t="shared" si="63"/>
        <v>0.43999500000001035</v>
      </c>
      <c r="K100" s="25">
        <f t="shared" si="64"/>
        <v>0.43999500000001035</v>
      </c>
      <c r="L100" s="25">
        <f t="shared" si="65"/>
        <v>0</v>
      </c>
      <c r="M100" s="25">
        <f t="shared" ref="M100:N100" si="103">AVERAGE(K87:K100)</f>
        <v>0.27499985714285813</v>
      </c>
      <c r="N100" s="25">
        <f t="shared" si="103"/>
        <v>9.3571714285714744E-2</v>
      </c>
      <c r="O100" s="25">
        <f t="shared" si="83"/>
        <v>2.9389207971884015</v>
      </c>
      <c r="P100" s="25">
        <f t="shared" si="84"/>
        <v>74.612335421575395</v>
      </c>
      <c r="Q100" s="25">
        <f t="shared" si="61"/>
        <v>0.79999500000000978</v>
      </c>
      <c r="R100" s="25">
        <f t="shared" si="79"/>
        <v>0.66357114285714203</v>
      </c>
      <c r="S100" s="25">
        <f t="shared" si="76"/>
        <v>66.251666999999998</v>
      </c>
      <c r="T100" s="20">
        <v>65.986655619006413</v>
      </c>
      <c r="U100" s="20">
        <v>0.70642135983926835</v>
      </c>
      <c r="V100" s="20">
        <v>0.42886696910439215</v>
      </c>
      <c r="W100" s="20">
        <v>0.2775543907348762</v>
      </c>
    </row>
    <row r="101" spans="1:23" x14ac:dyDescent="0.35">
      <c r="A101" s="26">
        <v>42853</v>
      </c>
      <c r="B101" s="25">
        <v>68.910004000000001</v>
      </c>
      <c r="C101" s="25">
        <v>69.139999000000003</v>
      </c>
      <c r="D101" s="25">
        <v>67.690002000000007</v>
      </c>
      <c r="E101" s="25">
        <v>68.459998999999996</v>
      </c>
      <c r="F101" s="25">
        <v>39423500</v>
      </c>
      <c r="G101" s="25">
        <v>67.370734999999996</v>
      </c>
      <c r="H101" s="19">
        <f t="shared" si="62"/>
        <v>2.7791433881637745E-3</v>
      </c>
      <c r="I101" s="27">
        <f t="shared" si="81"/>
        <v>0.1094570715402897</v>
      </c>
      <c r="J101" s="25">
        <f t="shared" si="63"/>
        <v>0.19000199999999268</v>
      </c>
      <c r="K101" s="25">
        <f t="shared" si="64"/>
        <v>0.19000199999999268</v>
      </c>
      <c r="L101" s="25">
        <f t="shared" si="65"/>
        <v>0</v>
      </c>
      <c r="M101" s="25">
        <f t="shared" ref="M101:N101" si="104">AVERAGE(K88:K101)</f>
        <v>0.28857142857142903</v>
      </c>
      <c r="N101" s="25">
        <f t="shared" si="104"/>
        <v>9.0000071428572623E-2</v>
      </c>
      <c r="O101" s="25">
        <f t="shared" si="83"/>
        <v>3.2063466616295964</v>
      </c>
      <c r="P101" s="25">
        <f t="shared" si="84"/>
        <v>76.226400711999659</v>
      </c>
      <c r="Q101" s="25">
        <f t="shared" si="61"/>
        <v>1.4499969999999962</v>
      </c>
      <c r="R101" s="25">
        <f t="shared" si="79"/>
        <v>0.72999971428571386</v>
      </c>
      <c r="S101" s="25">
        <f t="shared" si="76"/>
        <v>66.5</v>
      </c>
      <c r="T101" s="20">
        <v>66.169866239820749</v>
      </c>
      <c r="U101" s="20">
        <v>0.79504489612560292</v>
      </c>
      <c r="V101" s="20">
        <v>0.50210255450863439</v>
      </c>
      <c r="W101" s="20">
        <v>0.29294234161696853</v>
      </c>
    </row>
    <row r="102" spans="1:23" x14ac:dyDescent="0.35">
      <c r="A102" s="26">
        <v>42856</v>
      </c>
      <c r="B102" s="25">
        <v>68.680000000000007</v>
      </c>
      <c r="C102" s="25">
        <v>69.550003000000004</v>
      </c>
      <c r="D102" s="25">
        <v>68.5</v>
      </c>
      <c r="E102" s="25">
        <v>69.410004000000001</v>
      </c>
      <c r="F102" s="25">
        <v>31954400</v>
      </c>
      <c r="G102" s="25">
        <v>68.305626000000004</v>
      </c>
      <c r="H102" s="19">
        <f t="shared" si="62"/>
        <v>1.3781410259487798E-2</v>
      </c>
      <c r="I102" s="27">
        <f t="shared" si="81"/>
        <v>0.11558165036305491</v>
      </c>
      <c r="J102" s="25">
        <f t="shared" si="63"/>
        <v>0.95000500000000443</v>
      </c>
      <c r="K102" s="25">
        <f t="shared" si="64"/>
        <v>0.95000500000000443</v>
      </c>
      <c r="L102" s="25">
        <f t="shared" si="65"/>
        <v>0</v>
      </c>
      <c r="M102" s="25">
        <f t="shared" ref="M102:N102" si="105">AVERAGE(K89:K102)</f>
        <v>0.35642892857142933</v>
      </c>
      <c r="N102" s="25">
        <f t="shared" si="105"/>
        <v>7.9285714285715264E-2</v>
      </c>
      <c r="O102" s="25">
        <f t="shared" si="83"/>
        <v>4.4954999999999536</v>
      </c>
      <c r="P102" s="25">
        <f t="shared" si="84"/>
        <v>81.803293603857554</v>
      </c>
      <c r="Q102" s="25">
        <f t="shared" si="61"/>
        <v>1.0500030000000038</v>
      </c>
      <c r="R102" s="25">
        <f t="shared" si="79"/>
        <v>0.77214285714285735</v>
      </c>
      <c r="S102" s="25">
        <f t="shared" si="76"/>
        <v>66.848333416666662</v>
      </c>
      <c r="T102" s="20">
        <v>66.409876444278481</v>
      </c>
      <c r="U102" s="20">
        <v>0.93120282459919679</v>
      </c>
      <c r="V102" s="20">
        <v>0.58792260852674683</v>
      </c>
      <c r="W102" s="20">
        <v>0.34328021607244996</v>
      </c>
    </row>
    <row r="103" spans="1:23" x14ac:dyDescent="0.35">
      <c r="A103" s="26">
        <v>42857</v>
      </c>
      <c r="B103" s="25">
        <v>69.709998999999996</v>
      </c>
      <c r="C103" s="25">
        <v>69.709998999999996</v>
      </c>
      <c r="D103" s="25">
        <v>69.129997000000003</v>
      </c>
      <c r="E103" s="25">
        <v>69.300003000000004</v>
      </c>
      <c r="F103" s="25">
        <v>23906100</v>
      </c>
      <c r="G103" s="25">
        <v>68.197379999999995</v>
      </c>
      <c r="H103" s="19">
        <f t="shared" si="62"/>
        <v>-1.5859873838936452E-3</v>
      </c>
      <c r="I103" s="27">
        <f t="shared" si="81"/>
        <v>0.11630435234297276</v>
      </c>
      <c r="J103" s="25">
        <f t="shared" si="63"/>
        <v>-0.11000099999999691</v>
      </c>
      <c r="K103" s="25">
        <f t="shared" si="64"/>
        <v>0</v>
      </c>
      <c r="L103" s="25">
        <f t="shared" si="65"/>
        <v>0.11000099999999691</v>
      </c>
      <c r="M103" s="25">
        <f t="shared" ref="M103:N103" si="106">AVERAGE(K90:K103)</f>
        <v>0.35642892857142933</v>
      </c>
      <c r="N103" s="25">
        <f t="shared" si="106"/>
        <v>8.3571785714285945E-2</v>
      </c>
      <c r="O103" s="25">
        <f t="shared" si="83"/>
        <v>4.2649433122080644</v>
      </c>
      <c r="P103" s="25">
        <f t="shared" si="84"/>
        <v>81.006443171358484</v>
      </c>
      <c r="Q103" s="25">
        <f t="shared" si="61"/>
        <v>0.58000199999999325</v>
      </c>
      <c r="R103" s="25">
        <f t="shared" si="79"/>
        <v>0.75928564285714273</v>
      </c>
      <c r="S103" s="25">
        <f t="shared" si="76"/>
        <v>67.210833916666672</v>
      </c>
      <c r="T103" s="20">
        <v>66.623959892850451</v>
      </c>
      <c r="U103" s="20">
        <v>1.0184922577383588</v>
      </c>
      <c r="V103" s="20">
        <v>0.67403653836906929</v>
      </c>
      <c r="W103" s="20">
        <v>0.34445571936928954</v>
      </c>
    </row>
    <row r="104" spans="1:23" x14ac:dyDescent="0.35">
      <c r="A104" s="26">
        <v>42858</v>
      </c>
      <c r="B104" s="25">
        <v>69.379997000000003</v>
      </c>
      <c r="C104" s="25">
        <v>69.379997000000003</v>
      </c>
      <c r="D104" s="25">
        <v>68.709998999999996</v>
      </c>
      <c r="E104" s="25">
        <v>69.080001999999993</v>
      </c>
      <c r="F104" s="25">
        <v>28928000</v>
      </c>
      <c r="G104" s="25">
        <v>67.980873000000003</v>
      </c>
      <c r="H104" s="19">
        <f t="shared" si="62"/>
        <v>-3.1797614913306521E-3</v>
      </c>
      <c r="I104" s="27">
        <f t="shared" si="81"/>
        <v>0.11548638364893082</v>
      </c>
      <c r="J104" s="25">
        <f t="shared" si="63"/>
        <v>-0.22000100000001055</v>
      </c>
      <c r="K104" s="25">
        <f t="shared" si="64"/>
        <v>0</v>
      </c>
      <c r="L104" s="25">
        <f t="shared" si="65"/>
        <v>0.22000100000001055</v>
      </c>
      <c r="M104" s="25">
        <f t="shared" ref="M104:N104" si="107">AVERAGE(K91:K104)</f>
        <v>0.35642892857142933</v>
      </c>
      <c r="N104" s="25">
        <f t="shared" si="107"/>
        <v>8.1429000000000987E-2</v>
      </c>
      <c r="O104" s="25">
        <f t="shared" si="83"/>
        <v>4.377174330661374</v>
      </c>
      <c r="P104" s="25">
        <f t="shared" si="84"/>
        <v>81.402871870865994</v>
      </c>
      <c r="Q104" s="25">
        <f t="shared" si="61"/>
        <v>0.66999800000000675</v>
      </c>
      <c r="R104" s="25">
        <f t="shared" si="79"/>
        <v>0.77857114285714302</v>
      </c>
      <c r="S104" s="25">
        <f t="shared" si="76"/>
        <v>67.510833833333336</v>
      </c>
      <c r="T104" s="20">
        <v>66.805888937824491</v>
      </c>
      <c r="U104" s="20">
        <v>1.0577247280583464</v>
      </c>
      <c r="V104" s="20">
        <v>0.75077417630692467</v>
      </c>
      <c r="W104" s="20">
        <v>0.30695055175142172</v>
      </c>
    </row>
    <row r="105" spans="1:23" x14ac:dyDescent="0.35">
      <c r="A105" s="26">
        <v>42859</v>
      </c>
      <c r="B105" s="25">
        <v>69.029999000000004</v>
      </c>
      <c r="C105" s="25">
        <v>69.080001999999993</v>
      </c>
      <c r="D105" s="25">
        <v>68.639999000000003</v>
      </c>
      <c r="E105" s="25">
        <v>68.809997999999993</v>
      </c>
      <c r="F105" s="25">
        <v>21749400</v>
      </c>
      <c r="G105" s="25">
        <v>67.715171999999995</v>
      </c>
      <c r="H105" s="19">
        <f t="shared" si="62"/>
        <v>-3.9161250361656715E-3</v>
      </c>
      <c r="I105" s="27">
        <f t="shared" si="81"/>
        <v>0.1149531293760202</v>
      </c>
      <c r="J105" s="25">
        <f t="shared" si="63"/>
        <v>-0.27000400000000013</v>
      </c>
      <c r="K105" s="25">
        <f t="shared" si="64"/>
        <v>0</v>
      </c>
      <c r="L105" s="25">
        <f t="shared" si="65"/>
        <v>0.27000400000000013</v>
      </c>
      <c r="M105" s="25">
        <f t="shared" ref="M105:N105" si="108">AVERAGE(K92:K105)</f>
        <v>0.35642892857142933</v>
      </c>
      <c r="N105" s="25">
        <f t="shared" si="108"/>
        <v>8.0714571428572413E-2</v>
      </c>
      <c r="O105" s="25">
        <f t="shared" si="83"/>
        <v>4.4159179967504096</v>
      </c>
      <c r="P105" s="25">
        <f t="shared" si="84"/>
        <v>81.535909506015287</v>
      </c>
      <c r="Q105" s="25">
        <f t="shared" si="61"/>
        <v>0.44000299999999015</v>
      </c>
      <c r="R105" s="25">
        <f t="shared" si="79"/>
        <v>0.74499964285714226</v>
      </c>
      <c r="S105" s="25">
        <f t="shared" si="76"/>
        <v>67.79583375</v>
      </c>
      <c r="T105" s="20">
        <v>66.954341460948612</v>
      </c>
      <c r="U105" s="20">
        <v>1.0548697947984067</v>
      </c>
      <c r="V105" s="20">
        <v>0.81159330000522112</v>
      </c>
      <c r="W105" s="20">
        <v>0.24327649479318558</v>
      </c>
    </row>
    <row r="106" spans="1:23" x14ac:dyDescent="0.35">
      <c r="A106" s="26">
        <v>42860</v>
      </c>
      <c r="B106" s="25">
        <v>68.900002000000001</v>
      </c>
      <c r="C106" s="25">
        <v>69.029999000000004</v>
      </c>
      <c r="D106" s="25">
        <v>68.489998</v>
      </c>
      <c r="E106" s="25">
        <v>69</v>
      </c>
      <c r="F106" s="25">
        <v>19128800</v>
      </c>
      <c r="G106" s="25">
        <v>67.902145000000004</v>
      </c>
      <c r="H106" s="19">
        <f t="shared" si="62"/>
        <v>2.7573634783500285E-3</v>
      </c>
      <c r="I106" s="27">
        <f t="shared" si="81"/>
        <v>0.11357729535693838</v>
      </c>
      <c r="J106" s="25">
        <f t="shared" si="63"/>
        <v>0.19000200000000689</v>
      </c>
      <c r="K106" s="25">
        <f t="shared" si="64"/>
        <v>0.19000200000000689</v>
      </c>
      <c r="L106" s="25">
        <f t="shared" si="65"/>
        <v>0</v>
      </c>
      <c r="M106" s="25">
        <f t="shared" ref="M106:N106" si="109">AVERAGE(K93:K106)</f>
        <v>0.3321429285714298</v>
      </c>
      <c r="N106" s="25">
        <f t="shared" si="109"/>
        <v>8.0714571428572413E-2</v>
      </c>
      <c r="O106" s="25">
        <f t="shared" si="83"/>
        <v>4.1150305662634477</v>
      </c>
      <c r="P106" s="25">
        <f t="shared" si="84"/>
        <v>80.449774697426605</v>
      </c>
      <c r="Q106" s="25">
        <f t="shared" si="61"/>
        <v>0.54000100000000373</v>
      </c>
      <c r="R106" s="25">
        <f t="shared" si="79"/>
        <v>0.74928571428571389</v>
      </c>
      <c r="S106" s="25">
        <f t="shared" si="76"/>
        <v>68.125833666666651</v>
      </c>
      <c r="T106" s="20">
        <v>67.105871723100563</v>
      </c>
      <c r="U106" s="20">
        <v>1.0557685702238331</v>
      </c>
      <c r="V106" s="20">
        <v>0.86042835404894347</v>
      </c>
      <c r="W106" s="20">
        <v>0.19534021617488961</v>
      </c>
    </row>
    <row r="107" spans="1:23" x14ac:dyDescent="0.35">
      <c r="A107" s="26">
        <v>42863</v>
      </c>
      <c r="B107" s="25">
        <v>68.970000999999996</v>
      </c>
      <c r="C107" s="25">
        <v>69.050003000000004</v>
      </c>
      <c r="D107" s="25">
        <v>68.419998000000007</v>
      </c>
      <c r="E107" s="25">
        <v>68.940002000000007</v>
      </c>
      <c r="F107" s="25">
        <v>18566100</v>
      </c>
      <c r="G107" s="25">
        <v>67.843108999999998</v>
      </c>
      <c r="H107" s="19">
        <f t="shared" si="62"/>
        <v>-8.6980578668396089E-4</v>
      </c>
      <c r="I107" s="27">
        <f t="shared" si="81"/>
        <v>0.11315530519305717</v>
      </c>
      <c r="J107" s="25">
        <f t="shared" si="63"/>
        <v>-5.9997999999993112E-2</v>
      </c>
      <c r="K107" s="25">
        <f t="shared" si="64"/>
        <v>0</v>
      </c>
      <c r="L107" s="25">
        <f t="shared" si="65"/>
        <v>5.9997999999993112E-2</v>
      </c>
      <c r="M107" s="25">
        <f t="shared" ref="M107:N107" si="110">AVERAGE(K94:K107)</f>
        <v>0.3321429285714298</v>
      </c>
      <c r="N107" s="25">
        <f t="shared" si="110"/>
        <v>7.857128571428669E-2</v>
      </c>
      <c r="O107" s="25">
        <f t="shared" si="83"/>
        <v>4.2272813223296399</v>
      </c>
      <c r="P107" s="25">
        <f t="shared" si="84"/>
        <v>80.869596672973202</v>
      </c>
      <c r="Q107" s="25">
        <f t="shared" si="61"/>
        <v>0.63000499999999704</v>
      </c>
      <c r="R107" s="25">
        <f t="shared" si="79"/>
        <v>0.75500071428571403</v>
      </c>
      <c r="S107" s="25">
        <f t="shared" si="76"/>
        <v>68.412500500000007</v>
      </c>
      <c r="T107" s="20">
        <v>67.241733225093114</v>
      </c>
      <c r="U107" s="20">
        <v>1.0396550231044586</v>
      </c>
      <c r="V107" s="20">
        <v>0.89627368786004658</v>
      </c>
      <c r="W107" s="20">
        <v>0.14338133524441199</v>
      </c>
    </row>
    <row r="108" spans="1:23" x14ac:dyDescent="0.35">
      <c r="A108" s="26">
        <v>42864</v>
      </c>
      <c r="B108" s="25">
        <v>68.860000999999997</v>
      </c>
      <c r="C108" s="25">
        <v>69.279999000000004</v>
      </c>
      <c r="D108" s="25">
        <v>68.680000000000007</v>
      </c>
      <c r="E108" s="25">
        <v>69.040001000000004</v>
      </c>
      <c r="F108" s="25">
        <v>22858400</v>
      </c>
      <c r="G108" s="25">
        <v>67.941513</v>
      </c>
      <c r="H108" s="19">
        <f t="shared" si="62"/>
        <v>1.4494132807947853E-3</v>
      </c>
      <c r="I108" s="27">
        <f t="shared" si="81"/>
        <v>0.10594464636001071</v>
      </c>
      <c r="J108" s="25">
        <f t="shared" si="63"/>
        <v>9.999899999999684E-2</v>
      </c>
      <c r="K108" s="25">
        <f t="shared" si="64"/>
        <v>9.999899999999684E-2</v>
      </c>
      <c r="L108" s="25">
        <f t="shared" si="65"/>
        <v>0</v>
      </c>
      <c r="M108" s="25">
        <f t="shared" ref="M108:N108" si="111">AVERAGE(K95:K108)</f>
        <v>0.3392857142857153</v>
      </c>
      <c r="N108" s="25">
        <f t="shared" si="111"/>
        <v>5.3571428571429588E-2</v>
      </c>
      <c r="O108" s="25">
        <f t="shared" si="83"/>
        <v>6.3333333333332318</v>
      </c>
      <c r="P108" s="25">
        <f t="shared" si="84"/>
        <v>86.363636363636175</v>
      </c>
      <c r="Q108" s="25">
        <f t="shared" si="61"/>
        <v>0.59999899999999684</v>
      </c>
      <c r="R108" s="25">
        <f t="shared" si="79"/>
        <v>0.73642914285714256</v>
      </c>
      <c r="S108" s="25">
        <f t="shared" si="76"/>
        <v>68.632500416666659</v>
      </c>
      <c r="T108" s="20">
        <v>67.37493824545659</v>
      </c>
      <c r="U108" s="20">
        <v>1.0231596568644363</v>
      </c>
      <c r="V108" s="20">
        <v>0.92165088166092457</v>
      </c>
      <c r="W108" s="20">
        <v>0.10150877520351176</v>
      </c>
    </row>
    <row r="109" spans="1:23" x14ac:dyDescent="0.35">
      <c r="A109" s="26">
        <v>42865</v>
      </c>
      <c r="B109" s="25">
        <v>68.989998</v>
      </c>
      <c r="C109" s="25">
        <v>69.559997999999993</v>
      </c>
      <c r="D109" s="25">
        <v>68.919998000000007</v>
      </c>
      <c r="E109" s="25">
        <v>69.309997999999993</v>
      </c>
      <c r="F109" s="25">
        <v>17977800</v>
      </c>
      <c r="G109" s="25">
        <v>68.207206999999997</v>
      </c>
      <c r="H109" s="19">
        <f t="shared" si="62"/>
        <v>3.9030016189008322E-3</v>
      </c>
      <c r="I109" s="27">
        <f t="shared" si="81"/>
        <v>0.10517982615541642</v>
      </c>
      <c r="J109" s="25">
        <f t="shared" si="63"/>
        <v>0.26999699999998938</v>
      </c>
      <c r="K109" s="25">
        <f t="shared" si="64"/>
        <v>0.26999699999998938</v>
      </c>
      <c r="L109" s="25">
        <f t="shared" si="65"/>
        <v>0</v>
      </c>
      <c r="M109" s="25">
        <f t="shared" ref="M109:N109" si="112">AVERAGE(K96:K109)</f>
        <v>0.3257141428571434</v>
      </c>
      <c r="N109" s="25">
        <f t="shared" si="112"/>
        <v>5.3571428571429588E-2</v>
      </c>
      <c r="O109" s="25">
        <f t="shared" si="83"/>
        <v>6.0799973333332282</v>
      </c>
      <c r="P109" s="25">
        <f t="shared" si="84"/>
        <v>85.875700894802392</v>
      </c>
      <c r="Q109" s="25">
        <f t="shared" si="61"/>
        <v>0.63999999999998636</v>
      </c>
      <c r="R109" s="25">
        <f t="shared" si="79"/>
        <v>0.73857192857142751</v>
      </c>
      <c r="S109" s="25">
        <f t="shared" si="76"/>
        <v>68.780833666666652</v>
      </c>
      <c r="T109" s="20">
        <v>67.5182760050524</v>
      </c>
      <c r="U109" s="20">
        <v>1.0201142199884714</v>
      </c>
      <c r="V109" s="20">
        <v>0.94134354932643405</v>
      </c>
      <c r="W109" s="20">
        <v>7.8770670662037356E-2</v>
      </c>
    </row>
    <row r="110" spans="1:23" x14ac:dyDescent="0.35">
      <c r="A110" s="26">
        <v>42866</v>
      </c>
      <c r="B110" s="25">
        <v>68.360000999999997</v>
      </c>
      <c r="C110" s="25">
        <v>68.730002999999996</v>
      </c>
      <c r="D110" s="25">
        <v>68.120002999999997</v>
      </c>
      <c r="E110" s="25">
        <v>68.459998999999996</v>
      </c>
      <c r="F110" s="25">
        <v>28789400</v>
      </c>
      <c r="G110" s="25">
        <v>67.370734999999996</v>
      </c>
      <c r="H110" s="19">
        <f t="shared" si="62"/>
        <v>-1.2339508939459506E-2</v>
      </c>
      <c r="I110" s="27">
        <f t="shared" si="81"/>
        <v>0.11635231350497549</v>
      </c>
      <c r="J110" s="25">
        <f t="shared" si="63"/>
        <v>-0.84999899999999684</v>
      </c>
      <c r="K110" s="25">
        <f t="shared" si="64"/>
        <v>0</v>
      </c>
      <c r="L110" s="25">
        <f t="shared" si="65"/>
        <v>0.84999899999999684</v>
      </c>
      <c r="M110" s="25">
        <f t="shared" ref="M110:N110" si="113">AVERAGE(K97:K110)</f>
        <v>0.26142828571428617</v>
      </c>
      <c r="N110" s="25">
        <f t="shared" si="113"/>
        <v>0.11428564285714364</v>
      </c>
      <c r="O110" s="25">
        <f t="shared" si="83"/>
        <v>2.2874989296868193</v>
      </c>
      <c r="P110" s="25">
        <f t="shared" si="84"/>
        <v>69.581739146139768</v>
      </c>
      <c r="Q110" s="25">
        <f t="shared" si="61"/>
        <v>0.60999999999999943</v>
      </c>
      <c r="R110" s="25">
        <f t="shared" si="79"/>
        <v>0.6928576428571418</v>
      </c>
      <c r="S110" s="25">
        <f t="shared" si="76"/>
        <v>68.825833750000001</v>
      </c>
      <c r="T110" s="20">
        <v>67.588033263937405</v>
      </c>
      <c r="U110" s="20">
        <v>0.93829677263563838</v>
      </c>
      <c r="V110" s="20">
        <v>0.94073419398827496</v>
      </c>
      <c r="W110" s="20">
        <v>-2.4374213526365818E-3</v>
      </c>
    </row>
    <row r="111" spans="1:23" x14ac:dyDescent="0.35">
      <c r="A111" s="26">
        <v>42867</v>
      </c>
      <c r="B111" s="25">
        <v>68.610000999999997</v>
      </c>
      <c r="C111" s="25">
        <v>68.610000999999997</v>
      </c>
      <c r="D111" s="25">
        <v>68.040001000000004</v>
      </c>
      <c r="E111" s="25">
        <v>68.379997000000003</v>
      </c>
      <c r="F111" s="25">
        <v>18714100</v>
      </c>
      <c r="G111" s="25">
        <v>67.292006999999998</v>
      </c>
      <c r="H111" s="19">
        <f t="shared" si="62"/>
        <v>-1.169261932444089E-3</v>
      </c>
      <c r="I111" s="27">
        <f t="shared" si="81"/>
        <v>9.5499667855749037E-2</v>
      </c>
      <c r="J111" s="25">
        <f t="shared" si="63"/>
        <v>-8.0001999999993245E-2</v>
      </c>
      <c r="K111" s="25">
        <f t="shared" si="64"/>
        <v>0</v>
      </c>
      <c r="L111" s="25">
        <f t="shared" si="65"/>
        <v>8.0001999999993245E-2</v>
      </c>
      <c r="M111" s="25">
        <f t="shared" ref="M111:N111" si="114">AVERAGE(K98:K111)</f>
        <v>0.18071421428571455</v>
      </c>
      <c r="N111" s="25">
        <f t="shared" si="114"/>
        <v>0.12000007142857173</v>
      </c>
      <c r="O111" s="25">
        <f t="shared" si="83"/>
        <v>1.5059508893149451</v>
      </c>
      <c r="P111" s="25">
        <f t="shared" si="84"/>
        <v>60.094988123515414</v>
      </c>
      <c r="Q111" s="25">
        <f t="shared" si="61"/>
        <v>0.56999999999999318</v>
      </c>
      <c r="R111" s="25">
        <f t="shared" si="79"/>
        <v>0.69357149999999834</v>
      </c>
      <c r="S111" s="25">
        <f t="shared" si="76"/>
        <v>68.871666666666655</v>
      </c>
      <c r="T111" s="20">
        <v>67.646697244386488</v>
      </c>
      <c r="U111" s="20">
        <v>0.85712001732916576</v>
      </c>
      <c r="V111" s="20">
        <v>0.92401135865645323</v>
      </c>
      <c r="W111" s="20">
        <v>-6.6891341327287468E-2</v>
      </c>
    </row>
    <row r="112" spans="1:23" x14ac:dyDescent="0.35">
      <c r="A112" s="26">
        <v>42870</v>
      </c>
      <c r="B112" s="25">
        <v>68.139999000000003</v>
      </c>
      <c r="C112" s="25">
        <v>68.480002999999996</v>
      </c>
      <c r="D112" s="25">
        <v>67.569999999999993</v>
      </c>
      <c r="E112" s="25">
        <v>68.430000000000007</v>
      </c>
      <c r="F112" s="25">
        <v>31530300</v>
      </c>
      <c r="G112" s="25">
        <v>67.341217</v>
      </c>
      <c r="H112" s="19">
        <f t="shared" si="62"/>
        <v>7.3102315653472087E-4</v>
      </c>
      <c r="I112" s="27">
        <f t="shared" si="81"/>
        <v>9.2881056621982441E-2</v>
      </c>
      <c r="J112" s="25">
        <f t="shared" si="63"/>
        <v>5.0003000000003794E-2</v>
      </c>
      <c r="K112" s="25">
        <f t="shared" si="64"/>
        <v>5.0003000000003794E-2</v>
      </c>
      <c r="L112" s="25">
        <f t="shared" si="65"/>
        <v>0</v>
      </c>
      <c r="M112" s="25">
        <f t="shared" ref="M112:N112" si="115">AVERAGE(K99:K112)</f>
        <v>0.15642878571428603</v>
      </c>
      <c r="N112" s="25">
        <f t="shared" si="115"/>
        <v>0.12000007142857173</v>
      </c>
      <c r="O112" s="25">
        <f t="shared" si="83"/>
        <v>1.3035724383497385</v>
      </c>
      <c r="P112" s="25">
        <f t="shared" si="84"/>
        <v>56.589166316107161</v>
      </c>
      <c r="Q112" s="25">
        <f t="shared" si="61"/>
        <v>0.91000300000000323</v>
      </c>
      <c r="R112" s="25">
        <f t="shared" si="79"/>
        <v>0.72714292857142682</v>
      </c>
      <c r="S112" s="25">
        <f t="shared" si="76"/>
        <v>68.885000250000004</v>
      </c>
      <c r="T112" s="20">
        <v>67.704719670728224</v>
      </c>
      <c r="U112" s="20">
        <v>0.78774108918501895</v>
      </c>
      <c r="V112" s="20">
        <v>0.89675730476216642</v>
      </c>
      <c r="W112" s="20">
        <v>-0.10901621557714747</v>
      </c>
    </row>
    <row r="113" spans="1:23" x14ac:dyDescent="0.35">
      <c r="A113" s="26">
        <v>42871</v>
      </c>
      <c r="B113" s="25">
        <v>68.230002999999996</v>
      </c>
      <c r="C113" s="25">
        <v>69.440002000000007</v>
      </c>
      <c r="D113" s="25">
        <v>68.160004000000001</v>
      </c>
      <c r="E113" s="25">
        <v>69.410004000000001</v>
      </c>
      <c r="F113" s="25">
        <v>34956000</v>
      </c>
      <c r="G113" s="25">
        <v>68.697158999999999</v>
      </c>
      <c r="H113" s="19">
        <f t="shared" si="62"/>
        <v>1.9935358623729162E-2</v>
      </c>
      <c r="I113" s="27">
        <f t="shared" si="81"/>
        <v>0.12341101590733318</v>
      </c>
      <c r="J113" s="25">
        <f t="shared" si="63"/>
        <v>0.98000399999999388</v>
      </c>
      <c r="K113" s="25">
        <f t="shared" si="64"/>
        <v>0.98000399999999388</v>
      </c>
      <c r="L113" s="25">
        <f t="shared" si="65"/>
        <v>0</v>
      </c>
      <c r="M113" s="25">
        <f t="shared" ref="M113:N113" si="116">AVERAGE(K100:K113)</f>
        <v>0.2264290714285713</v>
      </c>
      <c r="N113" s="25">
        <f t="shared" si="116"/>
        <v>0.11357178571428506</v>
      </c>
      <c r="O113" s="25">
        <f t="shared" si="83"/>
        <v>1.9937088248150268</v>
      </c>
      <c r="P113" s="25">
        <f t="shared" si="84"/>
        <v>66.596617823652664</v>
      </c>
      <c r="Q113" s="25">
        <f t="shared" si="61"/>
        <v>1.2799980000000062</v>
      </c>
      <c r="R113" s="25">
        <f t="shared" si="79"/>
        <v>0.76928599999999903</v>
      </c>
      <c r="S113" s="25">
        <f t="shared" si="76"/>
        <v>68.964167333333336</v>
      </c>
      <c r="T113" s="20">
        <v>67.831037028452059</v>
      </c>
      <c r="U113" s="20">
        <v>0.80258422993607326</v>
      </c>
      <c r="V113" s="20">
        <v>0.87792268979694787</v>
      </c>
      <c r="W113" s="20">
        <v>-7.5338459860874618E-2</v>
      </c>
    </row>
    <row r="114" spans="1:23" x14ac:dyDescent="0.35">
      <c r="A114" s="26">
        <v>42872</v>
      </c>
      <c r="B114" s="25">
        <v>68.889999000000003</v>
      </c>
      <c r="C114" s="25">
        <v>69.099997999999999</v>
      </c>
      <c r="D114" s="25">
        <v>67.430000000000007</v>
      </c>
      <c r="E114" s="25">
        <v>67.480002999999996</v>
      </c>
      <c r="F114" s="25">
        <v>30548800</v>
      </c>
      <c r="G114" s="25">
        <v>66.786972000000006</v>
      </c>
      <c r="H114" s="19">
        <f t="shared" si="62"/>
        <v>-2.8199813079756435E-2</v>
      </c>
      <c r="I114" s="27">
        <f t="shared" si="81"/>
        <v>0.17587028873845864</v>
      </c>
      <c r="J114" s="25">
        <f t="shared" si="63"/>
        <v>-1.9300010000000043</v>
      </c>
      <c r="K114" s="25">
        <f t="shared" si="64"/>
        <v>0</v>
      </c>
      <c r="L114" s="25">
        <f t="shared" si="65"/>
        <v>1.9300010000000043</v>
      </c>
      <c r="M114" s="25">
        <f t="shared" ref="M114:N114" si="117">AVERAGE(K101:K114)</f>
        <v>0.19500085714285628</v>
      </c>
      <c r="N114" s="25">
        <f t="shared" si="117"/>
        <v>0.25142899999999963</v>
      </c>
      <c r="O114" s="25">
        <f t="shared" si="83"/>
        <v>0.77557026891431213</v>
      </c>
      <c r="P114" s="25">
        <f t="shared" si="84"/>
        <v>43.680066201409275</v>
      </c>
      <c r="Q114" s="25">
        <f t="shared" si="61"/>
        <v>1.6699979999999925</v>
      </c>
      <c r="R114" s="25">
        <f t="shared" si="79"/>
        <v>0.83142907142856914</v>
      </c>
      <c r="S114" s="25">
        <f t="shared" si="76"/>
        <v>68.803333916666659</v>
      </c>
      <c r="T114" s="20">
        <v>67.80503450782598</v>
      </c>
      <c r="U114" s="20">
        <v>0.65110701850244368</v>
      </c>
      <c r="V114" s="20">
        <v>0.83255955553804706</v>
      </c>
      <c r="W114" s="20">
        <v>-0.18145253703560338</v>
      </c>
    </row>
    <row r="115" spans="1:23" x14ac:dyDescent="0.35">
      <c r="A115" s="26">
        <v>42873</v>
      </c>
      <c r="B115" s="25">
        <v>67.400002000000001</v>
      </c>
      <c r="C115" s="25">
        <v>68.129997000000003</v>
      </c>
      <c r="D115" s="25">
        <v>67.139999000000003</v>
      </c>
      <c r="E115" s="25">
        <v>67.709998999999996</v>
      </c>
      <c r="F115" s="25">
        <v>25201300</v>
      </c>
      <c r="G115" s="25">
        <v>67.014602999999994</v>
      </c>
      <c r="H115" s="19">
        <f t="shared" si="62"/>
        <v>3.4025192843890936E-3</v>
      </c>
      <c r="I115" s="27">
        <f t="shared" si="81"/>
        <v>0.17611003567444622</v>
      </c>
      <c r="J115" s="25">
        <f t="shared" si="63"/>
        <v>0.22999599999999987</v>
      </c>
      <c r="K115" s="25">
        <f t="shared" si="64"/>
        <v>0.22999599999999987</v>
      </c>
      <c r="L115" s="25">
        <f t="shared" si="65"/>
        <v>0</v>
      </c>
      <c r="M115" s="25">
        <f t="shared" ref="M115:N115" si="118">AVERAGE(K102:K115)</f>
        <v>0.19785757142857108</v>
      </c>
      <c r="N115" s="25">
        <f t="shared" si="118"/>
        <v>0.25142899999999963</v>
      </c>
      <c r="O115" s="25">
        <f t="shared" si="83"/>
        <v>0.78693218136559973</v>
      </c>
      <c r="P115" s="25">
        <f t="shared" si="84"/>
        <v>44.038167176787567</v>
      </c>
      <c r="Q115" s="25">
        <f t="shared" si="61"/>
        <v>0.98999799999999993</v>
      </c>
      <c r="R115" s="25">
        <f t="shared" si="79"/>
        <v>0.79857199999999806</v>
      </c>
      <c r="S115" s="25">
        <f t="shared" si="76"/>
        <v>68.670833583333334</v>
      </c>
      <c r="T115" s="20">
        <v>67.797994840579605</v>
      </c>
      <c r="U115" s="20">
        <v>0.54335552785212826</v>
      </c>
      <c r="V115" s="20">
        <v>0.77471875000086343</v>
      </c>
      <c r="W115" s="20">
        <v>-0.23136322214873517</v>
      </c>
    </row>
    <row r="116" spans="1:23" x14ac:dyDescent="0.35">
      <c r="A116" s="26">
        <v>42874</v>
      </c>
      <c r="B116" s="25">
        <v>67.5</v>
      </c>
      <c r="C116" s="25">
        <v>68.099997999999999</v>
      </c>
      <c r="D116" s="25">
        <v>67.430000000000007</v>
      </c>
      <c r="E116" s="25">
        <v>67.690002000000007</v>
      </c>
      <c r="F116" s="25">
        <v>26961100</v>
      </c>
      <c r="G116" s="25">
        <v>66.994811999999996</v>
      </c>
      <c r="H116" s="19">
        <f t="shared" si="62"/>
        <v>-2.9536730898915641E-4</v>
      </c>
      <c r="I116" s="27">
        <f t="shared" si="81"/>
        <v>0.16387125682165377</v>
      </c>
      <c r="J116" s="25">
        <f t="shared" si="63"/>
        <v>-1.9996999999989384E-2</v>
      </c>
      <c r="K116" s="25">
        <f t="shared" si="64"/>
        <v>0</v>
      </c>
      <c r="L116" s="25">
        <f t="shared" si="65"/>
        <v>1.9996999999989384E-2</v>
      </c>
      <c r="M116" s="25">
        <f t="shared" ref="M116:N116" si="119">AVERAGE(K103:K116)</f>
        <v>0.13000007142857076</v>
      </c>
      <c r="N116" s="25">
        <f t="shared" si="119"/>
        <v>0.25285735714285601</v>
      </c>
      <c r="O116" s="25">
        <f t="shared" si="83"/>
        <v>0.5141241405727619</v>
      </c>
      <c r="P116" s="25">
        <f t="shared" si="84"/>
        <v>33.955217197599097</v>
      </c>
      <c r="Q116" s="25">
        <f t="shared" si="61"/>
        <v>0.66999799999999254</v>
      </c>
      <c r="R116" s="25">
        <f t="shared" si="79"/>
        <v>0.77142878571428297</v>
      </c>
      <c r="S116" s="25">
        <f t="shared" si="76"/>
        <v>68.555000250000006</v>
      </c>
      <c r="T116" s="20">
        <v>67.78999537090705</v>
      </c>
      <c r="U116" s="20">
        <v>0.45114755622749669</v>
      </c>
      <c r="V116" s="20">
        <v>0.71000451124619013</v>
      </c>
      <c r="W116" s="20">
        <v>-0.25885695501869344</v>
      </c>
    </row>
    <row r="117" spans="1:23" x14ac:dyDescent="0.35">
      <c r="A117" s="26">
        <v>42877</v>
      </c>
      <c r="B117" s="25">
        <v>67.889999000000003</v>
      </c>
      <c r="C117" s="25">
        <v>68.5</v>
      </c>
      <c r="D117" s="25">
        <v>67.5</v>
      </c>
      <c r="E117" s="25">
        <v>68.449996999999996</v>
      </c>
      <c r="F117" s="25">
        <v>16237600</v>
      </c>
      <c r="G117" s="25">
        <v>67.747001999999995</v>
      </c>
      <c r="H117" s="19">
        <f t="shared" si="62"/>
        <v>1.1165024301131803E-2</v>
      </c>
      <c r="I117" s="27">
        <f t="shared" si="81"/>
        <v>0.17228046886589188</v>
      </c>
      <c r="J117" s="25">
        <f t="shared" si="63"/>
        <v>0.75999499999998932</v>
      </c>
      <c r="K117" s="25">
        <f t="shared" si="64"/>
        <v>0.75999499999998932</v>
      </c>
      <c r="L117" s="25">
        <f t="shared" si="65"/>
        <v>0</v>
      </c>
      <c r="M117" s="25">
        <f t="shared" ref="M117:N117" si="120">AVERAGE(K104:K117)</f>
        <v>0.18428542857142713</v>
      </c>
      <c r="N117" s="25">
        <f t="shared" si="120"/>
        <v>0.24500014285714197</v>
      </c>
      <c r="O117" s="25">
        <f t="shared" si="83"/>
        <v>0.75218498414869417</v>
      </c>
      <c r="P117" s="25">
        <f t="shared" si="84"/>
        <v>42.928400308951751</v>
      </c>
      <c r="Q117" s="25">
        <f t="shared" si="61"/>
        <v>1</v>
      </c>
      <c r="R117" s="25">
        <f t="shared" si="79"/>
        <v>0.80142864285714055</v>
      </c>
      <c r="S117" s="25">
        <f t="shared" si="76"/>
        <v>68.525000166666686</v>
      </c>
      <c r="T117" s="20">
        <v>67.838884380469494</v>
      </c>
      <c r="U117" s="20">
        <v>0.43438994249051177</v>
      </c>
      <c r="V117" s="20">
        <v>0.65488159749505448</v>
      </c>
      <c r="W117" s="20">
        <v>-0.22049165500454271</v>
      </c>
    </row>
    <row r="118" spans="1:23" x14ac:dyDescent="0.35">
      <c r="A118" s="26">
        <v>42878</v>
      </c>
      <c r="B118" s="25">
        <v>68.720000999999996</v>
      </c>
      <c r="C118" s="25">
        <v>68.75</v>
      </c>
      <c r="D118" s="25">
        <v>68.379997000000003</v>
      </c>
      <c r="E118" s="25">
        <v>68.680000000000007</v>
      </c>
      <c r="F118" s="25">
        <v>15425800</v>
      </c>
      <c r="G118" s="25">
        <v>67.974648000000002</v>
      </c>
      <c r="H118" s="19">
        <f t="shared" si="62"/>
        <v>3.3546042725242477E-3</v>
      </c>
      <c r="I118" s="27">
        <f t="shared" si="81"/>
        <v>0.17252096650724591</v>
      </c>
      <c r="J118" s="25">
        <f t="shared" si="63"/>
        <v>0.23000300000001062</v>
      </c>
      <c r="K118" s="25">
        <f t="shared" si="64"/>
        <v>0.23000300000001062</v>
      </c>
      <c r="L118" s="25">
        <f t="shared" si="65"/>
        <v>0</v>
      </c>
      <c r="M118" s="25">
        <f t="shared" ref="M118:N118" si="121">AVERAGE(K105:K118)</f>
        <v>0.20071421428571362</v>
      </c>
      <c r="N118" s="25">
        <f t="shared" si="121"/>
        <v>0.22928578571428407</v>
      </c>
      <c r="O118" s="25">
        <f t="shared" si="83"/>
        <v>0.87538882386641337</v>
      </c>
      <c r="P118" s="25">
        <f t="shared" si="84"/>
        <v>46.677724252491792</v>
      </c>
      <c r="Q118" s="25">
        <f t="shared" si="61"/>
        <v>0.37000299999999697</v>
      </c>
      <c r="R118" s="25">
        <f t="shared" si="79"/>
        <v>0.7800004285714256</v>
      </c>
      <c r="S118" s="25">
        <f t="shared" si="76"/>
        <v>68.498333500000015</v>
      </c>
      <c r="T118" s="20">
        <v>67.901189241175459</v>
      </c>
      <c r="U118" s="20">
        <v>0.43465826286762876</v>
      </c>
      <c r="V118" s="20">
        <v>0.61083693056956934</v>
      </c>
      <c r="W118" s="20">
        <v>-0.17617866770194057</v>
      </c>
    </row>
    <row r="119" spans="1:23" x14ac:dyDescent="0.35">
      <c r="A119" s="26">
        <v>42879</v>
      </c>
      <c r="B119" s="25">
        <v>68.870002999999997</v>
      </c>
      <c r="C119" s="25">
        <v>68.879997000000003</v>
      </c>
      <c r="D119" s="25">
        <v>68.449996999999996</v>
      </c>
      <c r="E119" s="25">
        <v>68.769997000000004</v>
      </c>
      <c r="F119" s="25">
        <v>14593900</v>
      </c>
      <c r="G119" s="25">
        <v>68.063721000000001</v>
      </c>
      <c r="H119" s="19">
        <f t="shared" si="62"/>
        <v>1.3095277954853393E-3</v>
      </c>
      <c r="I119" s="27">
        <f t="shared" si="81"/>
        <v>0.17164777178664928</v>
      </c>
      <c r="J119" s="25">
        <f t="shared" si="63"/>
        <v>8.9996999999996774E-2</v>
      </c>
      <c r="K119" s="25">
        <f t="shared" si="64"/>
        <v>8.9996999999996774E-2</v>
      </c>
      <c r="L119" s="25">
        <f t="shared" si="65"/>
        <v>0</v>
      </c>
      <c r="M119" s="25">
        <f t="shared" ref="M119:N119" si="122">AVERAGE(K106:K119)</f>
        <v>0.20714257142857054</v>
      </c>
      <c r="N119" s="25">
        <f t="shared" si="122"/>
        <v>0.20999978571428407</v>
      </c>
      <c r="O119" s="25">
        <f t="shared" si="83"/>
        <v>0.98639420380361276</v>
      </c>
      <c r="P119" s="25">
        <f t="shared" si="84"/>
        <v>49.657525274431066</v>
      </c>
      <c r="Q119" s="25">
        <f t="shared" si="61"/>
        <v>0.43000000000000682</v>
      </c>
      <c r="R119" s="25">
        <f t="shared" si="79"/>
        <v>0.77928592857142676</v>
      </c>
      <c r="S119" s="25">
        <f t="shared" si="76"/>
        <v>68.484166416666682</v>
      </c>
      <c r="T119" s="20">
        <v>67.965545371458759</v>
      </c>
      <c r="U119" s="20">
        <v>0.43709436273154267</v>
      </c>
      <c r="V119" s="20">
        <v>0.576088417001964</v>
      </c>
      <c r="W119" s="20">
        <v>-0.13899405427042133</v>
      </c>
    </row>
    <row r="120" spans="1:23" x14ac:dyDescent="0.35">
      <c r="A120" s="26">
        <v>42880</v>
      </c>
      <c r="B120" s="25">
        <v>68.970000999999996</v>
      </c>
      <c r="C120" s="25">
        <v>69.879997000000003</v>
      </c>
      <c r="D120" s="25">
        <v>68.910004000000001</v>
      </c>
      <c r="E120" s="25">
        <v>69.620002999999997</v>
      </c>
      <c r="F120" s="25">
        <v>21854100</v>
      </c>
      <c r="G120" s="25">
        <v>68.904999000000004</v>
      </c>
      <c r="H120" s="19">
        <f t="shared" si="62"/>
        <v>1.2284389888163549E-2</v>
      </c>
      <c r="I120" s="27">
        <f t="shared" si="81"/>
        <v>0.17882871988073992</v>
      </c>
      <c r="J120" s="25">
        <f t="shared" si="63"/>
        <v>0.85000599999999338</v>
      </c>
      <c r="K120" s="25">
        <f t="shared" si="64"/>
        <v>0.85000599999999338</v>
      </c>
      <c r="L120" s="25">
        <f t="shared" si="65"/>
        <v>0</v>
      </c>
      <c r="M120" s="25">
        <f t="shared" ref="M120:N120" si="123">AVERAGE(K107:K120)</f>
        <v>0.25428571428571239</v>
      </c>
      <c r="N120" s="25">
        <f t="shared" si="123"/>
        <v>0.20999978571428407</v>
      </c>
      <c r="O120" s="25">
        <f t="shared" si="83"/>
        <v>1.2108855893390371</v>
      </c>
      <c r="P120" s="25">
        <f t="shared" si="84"/>
        <v>54.769256047348961</v>
      </c>
      <c r="Q120" s="25">
        <f t="shared" si="61"/>
        <v>0.96999300000000233</v>
      </c>
      <c r="R120" s="25">
        <f t="shared" si="79"/>
        <v>0.80999964285714099</v>
      </c>
      <c r="S120" s="25">
        <f t="shared" si="76"/>
        <v>68.53249991666668</v>
      </c>
      <c r="T120" s="20">
        <v>68.088097788387742</v>
      </c>
      <c r="U120" s="20">
        <v>0.50182860208097679</v>
      </c>
      <c r="V120" s="20">
        <v>0.56123645401776656</v>
      </c>
      <c r="W120" s="20">
        <v>-5.9407851936789768E-2</v>
      </c>
    </row>
    <row r="121" spans="1:23" x14ac:dyDescent="0.35">
      <c r="A121" s="26">
        <v>42881</v>
      </c>
      <c r="B121" s="25">
        <v>69.800003000000004</v>
      </c>
      <c r="C121" s="25">
        <v>70.220000999999996</v>
      </c>
      <c r="D121" s="25">
        <v>69.519997000000004</v>
      </c>
      <c r="E121" s="25">
        <v>69.959998999999996</v>
      </c>
      <c r="F121" s="25">
        <v>19827900</v>
      </c>
      <c r="G121" s="25">
        <v>69.241493000000006</v>
      </c>
      <c r="H121" s="19">
        <f t="shared" si="62"/>
        <v>4.8715629416956506E-3</v>
      </c>
      <c r="I121" s="27">
        <f t="shared" si="81"/>
        <v>0.17929401140257289</v>
      </c>
      <c r="J121" s="25">
        <f t="shared" si="63"/>
        <v>0.3399959999999993</v>
      </c>
      <c r="K121" s="25">
        <f t="shared" si="64"/>
        <v>0.3399959999999993</v>
      </c>
      <c r="L121" s="25">
        <f t="shared" si="65"/>
        <v>0</v>
      </c>
      <c r="M121" s="25">
        <f t="shared" ref="M121:N121" si="124">AVERAGE(K108:K121)</f>
        <v>0.27857114285714096</v>
      </c>
      <c r="N121" s="25">
        <f t="shared" si="124"/>
        <v>0.20571421428571313</v>
      </c>
      <c r="O121" s="25">
        <f t="shared" si="83"/>
        <v>1.3541657479742164</v>
      </c>
      <c r="P121" s="25">
        <f t="shared" si="84"/>
        <v>57.522107317188258</v>
      </c>
      <c r="Q121" s="25">
        <f t="shared" si="61"/>
        <v>0.70000399999999274</v>
      </c>
      <c r="R121" s="25">
        <f t="shared" si="79"/>
        <v>0.81499957142856927</v>
      </c>
      <c r="S121" s="25">
        <f t="shared" si="76"/>
        <v>68.586666666666659</v>
      </c>
      <c r="T121" s="20">
        <v>68.226757137396049</v>
      </c>
      <c r="U121" s="20">
        <v>0.57394965453902103</v>
      </c>
      <c r="V121" s="20">
        <v>0.56377909412201754</v>
      </c>
      <c r="W121" s="20">
        <v>1.0170560417003482E-2</v>
      </c>
    </row>
    <row r="122" spans="1:23" x14ac:dyDescent="0.35">
      <c r="A122" s="26">
        <v>42885</v>
      </c>
      <c r="B122" s="25">
        <v>69.790001000000004</v>
      </c>
      <c r="C122" s="25">
        <v>70.410004000000001</v>
      </c>
      <c r="D122" s="25">
        <v>69.769997000000004</v>
      </c>
      <c r="E122" s="25">
        <v>70.410004000000001</v>
      </c>
      <c r="F122" s="25">
        <v>17072800</v>
      </c>
      <c r="G122" s="25">
        <v>69.686881999999997</v>
      </c>
      <c r="H122" s="19">
        <f t="shared" si="62"/>
        <v>6.4118006976117492E-3</v>
      </c>
      <c r="I122" s="27">
        <f t="shared" si="81"/>
        <v>0.18052167917154524</v>
      </c>
      <c r="J122" s="25">
        <f t="shared" si="63"/>
        <v>0.45000500000000443</v>
      </c>
      <c r="K122" s="25">
        <f t="shared" si="64"/>
        <v>0.45000500000000443</v>
      </c>
      <c r="L122" s="25">
        <f t="shared" si="65"/>
        <v>0</v>
      </c>
      <c r="M122" s="25">
        <f t="shared" ref="M122:N122" si="125">AVERAGE(K109:K122)</f>
        <v>0.30357157142857005</v>
      </c>
      <c r="N122" s="25">
        <f t="shared" si="125"/>
        <v>0.20571421428571313</v>
      </c>
      <c r="O122" s="25">
        <f t="shared" si="83"/>
        <v>1.4756956512832138</v>
      </c>
      <c r="P122" s="25">
        <f t="shared" si="84"/>
        <v>59.607312818048719</v>
      </c>
      <c r="Q122" s="25">
        <f t="shared" si="61"/>
        <v>0.64000699999999711</v>
      </c>
      <c r="R122" s="25">
        <f t="shared" si="79"/>
        <v>0.81785728571428351</v>
      </c>
      <c r="S122" s="25">
        <f t="shared" si="76"/>
        <v>68.749167083333333</v>
      </c>
      <c r="T122" s="20">
        <v>68.388479127218559</v>
      </c>
      <c r="U122" s="20">
        <v>0.65981185057265179</v>
      </c>
      <c r="V122" s="20">
        <v>0.58298564541214437</v>
      </c>
      <c r="W122" s="20">
        <v>7.6826205160507421E-2</v>
      </c>
    </row>
    <row r="123" spans="1:23" x14ac:dyDescent="0.35">
      <c r="A123" s="26">
        <v>42886</v>
      </c>
      <c r="B123" s="25">
        <v>70.529999000000004</v>
      </c>
      <c r="C123" s="25">
        <v>70.739998</v>
      </c>
      <c r="D123" s="25">
        <v>69.809997999999993</v>
      </c>
      <c r="E123" s="25">
        <v>69.839995999999999</v>
      </c>
      <c r="F123" s="25">
        <v>30436400</v>
      </c>
      <c r="G123" s="25">
        <v>69.122726</v>
      </c>
      <c r="H123" s="19">
        <f t="shared" si="62"/>
        <v>-8.1285310781562883E-3</v>
      </c>
      <c r="I123" s="27">
        <f t="shared" si="81"/>
        <v>0.18498177629437948</v>
      </c>
      <c r="J123" s="25">
        <f t="shared" si="63"/>
        <v>-0.5700080000000014</v>
      </c>
      <c r="K123" s="25">
        <f t="shared" si="64"/>
        <v>0</v>
      </c>
      <c r="L123" s="25">
        <f t="shared" si="65"/>
        <v>0.5700080000000014</v>
      </c>
      <c r="M123" s="25">
        <f t="shared" ref="M123:N123" si="126">AVERAGE(K110:K123)</f>
        <v>0.28428607142857082</v>
      </c>
      <c r="N123" s="25">
        <f t="shared" si="126"/>
        <v>0.24642907142857037</v>
      </c>
      <c r="O123" s="25">
        <f t="shared" si="83"/>
        <v>1.1536222969982404</v>
      </c>
      <c r="P123" s="25">
        <f t="shared" si="84"/>
        <v>53.566602584221997</v>
      </c>
      <c r="Q123" s="25">
        <f t="shared" si="61"/>
        <v>0.93000000000000682</v>
      </c>
      <c r="R123" s="25">
        <f t="shared" si="79"/>
        <v>0.83857157142857075</v>
      </c>
      <c r="S123" s="25">
        <f t="shared" si="76"/>
        <v>68.87083366666667</v>
      </c>
      <c r="T123" s="20">
        <v>68.49599889557274</v>
      </c>
      <c r="U123" s="20">
        <v>0.67409285486597526</v>
      </c>
      <c r="V123" s="20">
        <v>0.6012070873029105</v>
      </c>
      <c r="W123" s="20">
        <v>7.2885767563064752E-2</v>
      </c>
    </row>
    <row r="124" spans="1:23" x14ac:dyDescent="0.35">
      <c r="A124" s="26">
        <v>42887</v>
      </c>
      <c r="B124" s="25">
        <v>70.239998</v>
      </c>
      <c r="C124" s="25">
        <v>70.610000999999997</v>
      </c>
      <c r="D124" s="25">
        <v>69.449996999999996</v>
      </c>
      <c r="E124" s="25">
        <v>70.099997999999999</v>
      </c>
      <c r="F124" s="25">
        <v>21603600</v>
      </c>
      <c r="G124" s="25">
        <v>69.380058000000005</v>
      </c>
      <c r="H124" s="19">
        <f t="shared" si="62"/>
        <v>3.7159151415155581E-3</v>
      </c>
      <c r="I124" s="27">
        <f t="shared" si="81"/>
        <v>0.17488457580329406</v>
      </c>
      <c r="J124" s="25">
        <f t="shared" si="63"/>
        <v>0.26000200000000007</v>
      </c>
      <c r="K124" s="25">
        <f t="shared" si="64"/>
        <v>0.26000200000000007</v>
      </c>
      <c r="L124" s="25">
        <f t="shared" si="65"/>
        <v>0</v>
      </c>
      <c r="M124" s="25">
        <f t="shared" ref="M124:N124" si="127">AVERAGE(K111:K124)</f>
        <v>0.30285764285714223</v>
      </c>
      <c r="N124" s="25">
        <f t="shared" si="127"/>
        <v>0.18571485714285632</v>
      </c>
      <c r="O124" s="25">
        <f t="shared" si="83"/>
        <v>1.6307669053326028</v>
      </c>
      <c r="P124" s="25">
        <f t="shared" si="84"/>
        <v>61.988270493558915</v>
      </c>
      <c r="Q124" s="25">
        <f t="shared" si="61"/>
        <v>1.1600040000000007</v>
      </c>
      <c r="R124" s="25">
        <f t="shared" si="79"/>
        <v>0.87785757142857079</v>
      </c>
      <c r="S124" s="25">
        <f t="shared" si="76"/>
        <v>69.010000166666671</v>
      </c>
      <c r="T124" s="20">
        <v>68.614813644048837</v>
      </c>
      <c r="U124" s="20">
        <v>0.69834060632238959</v>
      </c>
      <c r="V124" s="20">
        <v>0.62063379110680628</v>
      </c>
      <c r="W124" s="20">
        <v>7.7706815215583314E-2</v>
      </c>
    </row>
    <row r="125" spans="1:23" x14ac:dyDescent="0.35">
      <c r="A125" s="26">
        <v>42888</v>
      </c>
      <c r="B125" s="25">
        <v>70.440002000000007</v>
      </c>
      <c r="C125" s="25">
        <v>71.860000999999997</v>
      </c>
      <c r="D125" s="25">
        <v>70.239998</v>
      </c>
      <c r="E125" s="25">
        <v>71.760002</v>
      </c>
      <c r="F125" s="25">
        <v>34770300</v>
      </c>
      <c r="G125" s="25">
        <v>71.023017999999993</v>
      </c>
      <c r="H125" s="19">
        <f t="shared" si="62"/>
        <v>2.3404544166822586E-2</v>
      </c>
      <c r="I125" s="27">
        <f t="shared" si="81"/>
        <v>0.19580711098686504</v>
      </c>
      <c r="J125" s="25">
        <f t="shared" si="63"/>
        <v>1.6600040000000007</v>
      </c>
      <c r="K125" s="25">
        <f t="shared" si="64"/>
        <v>1.6600040000000007</v>
      </c>
      <c r="L125" s="25">
        <f t="shared" si="65"/>
        <v>0</v>
      </c>
      <c r="M125" s="25">
        <f t="shared" ref="M125:N125" si="128">AVERAGE(K112:K125)</f>
        <v>0.42142935714285656</v>
      </c>
      <c r="N125" s="25">
        <f t="shared" si="128"/>
        <v>0.18000042857142823</v>
      </c>
      <c r="O125" s="25">
        <f t="shared" si="83"/>
        <v>2.3412686319000842</v>
      </c>
      <c r="P125" s="25">
        <f t="shared" si="84"/>
        <v>70.0712480746773</v>
      </c>
      <c r="Q125" s="25">
        <f t="shared" si="61"/>
        <v>1.620002999999997</v>
      </c>
      <c r="R125" s="25">
        <f t="shared" si="79"/>
        <v>0.95285778571428537</v>
      </c>
      <c r="S125" s="25">
        <f t="shared" si="76"/>
        <v>69.205833333333331</v>
      </c>
      <c r="T125" s="20">
        <v>68.847790559304485</v>
      </c>
      <c r="U125" s="20">
        <v>0.84180180639424407</v>
      </c>
      <c r="V125" s="20">
        <v>0.66486739416429386</v>
      </c>
      <c r="W125" s="20">
        <v>0.17693441222995021</v>
      </c>
    </row>
    <row r="126" spans="1:23" x14ac:dyDescent="0.35">
      <c r="A126" s="26">
        <v>42891</v>
      </c>
      <c r="B126" s="25">
        <v>71.970000999999996</v>
      </c>
      <c r="C126" s="25">
        <v>72.889999000000003</v>
      </c>
      <c r="D126" s="25">
        <v>71.809997999999993</v>
      </c>
      <c r="E126" s="25">
        <v>72.279999000000004</v>
      </c>
      <c r="F126" s="25">
        <v>33316800</v>
      </c>
      <c r="G126" s="25">
        <v>71.537673999999996</v>
      </c>
      <c r="H126" s="19">
        <f t="shared" si="62"/>
        <v>7.2201983391566435E-3</v>
      </c>
      <c r="I126" s="27">
        <f t="shared" si="81"/>
        <v>0.19573603758057714</v>
      </c>
      <c r="J126" s="25">
        <f t="shared" si="63"/>
        <v>0.5199970000000036</v>
      </c>
      <c r="K126" s="25">
        <f t="shared" si="64"/>
        <v>0.5199970000000036</v>
      </c>
      <c r="L126" s="25">
        <f t="shared" si="65"/>
        <v>0</v>
      </c>
      <c r="M126" s="25">
        <f t="shared" ref="M126:N126" si="129">AVERAGE(K113:K126)</f>
        <v>0.45500035714285658</v>
      </c>
      <c r="N126" s="25">
        <f t="shared" si="129"/>
        <v>0.18000042857142823</v>
      </c>
      <c r="O126" s="25">
        <f t="shared" si="83"/>
        <v>2.5277737433958509</v>
      </c>
      <c r="P126" s="25">
        <f t="shared" si="84"/>
        <v>71.653510889919048</v>
      </c>
      <c r="Q126" s="25">
        <f t="shared" si="61"/>
        <v>1.08000100000001</v>
      </c>
      <c r="R126" s="25">
        <f t="shared" si="79"/>
        <v>0.96500050000000015</v>
      </c>
      <c r="S126" s="25">
        <f t="shared" si="76"/>
        <v>69.605833000000004</v>
      </c>
      <c r="T126" s="20">
        <v>69.102028221578223</v>
      </c>
      <c r="U126" s="20">
        <v>0.98608824170531761</v>
      </c>
      <c r="V126" s="20">
        <v>0.72911156367249874</v>
      </c>
      <c r="W126" s="20">
        <v>0.25697667803281887</v>
      </c>
    </row>
    <row r="127" spans="1:23" x14ac:dyDescent="0.35">
      <c r="A127" s="26">
        <v>42892</v>
      </c>
      <c r="B127" s="25">
        <v>72.300003000000004</v>
      </c>
      <c r="C127" s="25">
        <v>72.620002999999997</v>
      </c>
      <c r="D127" s="25">
        <v>72.269997000000004</v>
      </c>
      <c r="E127" s="25">
        <v>72.519997000000004</v>
      </c>
      <c r="F127" s="25">
        <v>31511100</v>
      </c>
      <c r="G127" s="25">
        <v>71.775199999999998</v>
      </c>
      <c r="H127" s="19">
        <f t="shared" si="62"/>
        <v>3.3147924657713772E-3</v>
      </c>
      <c r="I127" s="27">
        <f t="shared" si="81"/>
        <v>0.18226809480659883</v>
      </c>
      <c r="J127" s="25">
        <f t="shared" si="63"/>
        <v>0.23999799999999993</v>
      </c>
      <c r="K127" s="25">
        <f t="shared" si="64"/>
        <v>0.23999799999999993</v>
      </c>
      <c r="L127" s="25">
        <f t="shared" si="65"/>
        <v>0</v>
      </c>
      <c r="M127" s="25">
        <f t="shared" ref="M127:N127" si="130">AVERAGE(K114:K127)</f>
        <v>0.40214278571428558</v>
      </c>
      <c r="N127" s="25">
        <f t="shared" si="130"/>
        <v>0.18000042857142823</v>
      </c>
      <c r="O127" s="25">
        <f t="shared" si="83"/>
        <v>2.2341212679652385</v>
      </c>
      <c r="P127" s="25">
        <f t="shared" si="84"/>
        <v>69.079699951104359</v>
      </c>
      <c r="Q127" s="25">
        <f t="shared" si="61"/>
        <v>0.35000599999999338</v>
      </c>
      <c r="R127" s="25">
        <f t="shared" si="79"/>
        <v>0.89857249999999922</v>
      </c>
      <c r="S127" s="25">
        <f t="shared" si="76"/>
        <v>70.006666166666662</v>
      </c>
      <c r="T127" s="20">
        <v>69.355211094053914</v>
      </c>
      <c r="U127" s="20">
        <v>1.1070408364167719</v>
      </c>
      <c r="V127" s="20">
        <v>0.80469741822135332</v>
      </c>
      <c r="W127" s="20">
        <v>0.30234341819541855</v>
      </c>
    </row>
    <row r="128" spans="1:23" x14ac:dyDescent="0.35">
      <c r="A128" s="26">
        <v>42893</v>
      </c>
      <c r="B128" s="25">
        <v>72.639999000000003</v>
      </c>
      <c r="C128" s="25">
        <v>72.769997000000004</v>
      </c>
      <c r="D128" s="25">
        <v>71.949996999999996</v>
      </c>
      <c r="E128" s="25">
        <v>72.389999000000003</v>
      </c>
      <c r="F128" s="25">
        <v>22301800</v>
      </c>
      <c r="G128" s="25">
        <v>71.646545000000003</v>
      </c>
      <c r="H128" s="19">
        <f t="shared" si="62"/>
        <v>-1.7940798936552517E-3</v>
      </c>
      <c r="I128" s="27">
        <f t="shared" si="81"/>
        <v>0.1170397486473834</v>
      </c>
      <c r="J128" s="25">
        <f t="shared" si="63"/>
        <v>-0.1299980000000005</v>
      </c>
      <c r="K128" s="25">
        <f t="shared" si="64"/>
        <v>0</v>
      </c>
      <c r="L128" s="25">
        <f t="shared" si="65"/>
        <v>0.1299980000000005</v>
      </c>
      <c r="M128" s="25">
        <f t="shared" ref="M128:N128" si="131">AVERAGE(K115:K128)</f>
        <v>0.40214278571428558</v>
      </c>
      <c r="N128" s="25">
        <f t="shared" si="131"/>
        <v>5.1428785714285094E-2</v>
      </c>
      <c r="O128" s="25">
        <f t="shared" si="83"/>
        <v>7.8194104746786692</v>
      </c>
      <c r="P128" s="25">
        <f t="shared" si="84"/>
        <v>88.661373649961178</v>
      </c>
      <c r="Q128" s="25">
        <f t="shared" si="61"/>
        <v>0.82000000000000739</v>
      </c>
      <c r="R128" s="25">
        <f t="shared" si="79"/>
        <v>0.83785835714285739</v>
      </c>
      <c r="S128" s="25">
        <f t="shared" si="76"/>
        <v>70.398332583333328</v>
      </c>
      <c r="T128" s="20">
        <v>69.580010198198067</v>
      </c>
      <c r="U128" s="20">
        <v>1.1788182045079054</v>
      </c>
      <c r="V128" s="20">
        <v>0.87952157547866383</v>
      </c>
      <c r="W128" s="20">
        <v>0.29929662902924159</v>
      </c>
    </row>
    <row r="129" spans="1:23" x14ac:dyDescent="0.35">
      <c r="A129" s="26">
        <v>42894</v>
      </c>
      <c r="B129" s="25">
        <v>72.510002</v>
      </c>
      <c r="C129" s="25">
        <v>72.519997000000004</v>
      </c>
      <c r="D129" s="25">
        <v>71.5</v>
      </c>
      <c r="E129" s="25">
        <v>71.949996999999996</v>
      </c>
      <c r="F129" s="25">
        <v>24456300</v>
      </c>
      <c r="G129" s="25">
        <v>71.211060000000003</v>
      </c>
      <c r="H129" s="19">
        <f t="shared" si="62"/>
        <v>-6.0967891621081759E-3</v>
      </c>
      <c r="I129" s="27">
        <f t="shared" si="81"/>
        <v>0.12616306801858465</v>
      </c>
      <c r="J129" s="25">
        <f t="shared" si="63"/>
        <v>-0.44000200000000689</v>
      </c>
      <c r="K129" s="25">
        <f t="shared" si="64"/>
        <v>0</v>
      </c>
      <c r="L129" s="25">
        <f t="shared" si="65"/>
        <v>0.44000200000000689</v>
      </c>
      <c r="M129" s="25">
        <f t="shared" ref="M129:N129" si="132">AVERAGE(K116:K129)</f>
        <v>0.38571449999999985</v>
      </c>
      <c r="N129" s="25">
        <f t="shared" si="132"/>
        <v>8.2857499999999876E-2</v>
      </c>
      <c r="O129" s="25">
        <f t="shared" si="83"/>
        <v>4.6551549346770109</v>
      </c>
      <c r="P129" s="25">
        <f t="shared" si="84"/>
        <v>82.317018515831094</v>
      </c>
      <c r="Q129" s="25">
        <f t="shared" si="61"/>
        <v>1.0199970000000036</v>
      </c>
      <c r="R129" s="25">
        <f t="shared" si="79"/>
        <v>0.84000114285714333</v>
      </c>
      <c r="S129" s="25">
        <f t="shared" si="76"/>
        <v>70.689999249999985</v>
      </c>
      <c r="T129" s="20">
        <v>69.755564776109324</v>
      </c>
      <c r="U129" s="20">
        <v>1.1865203338726502</v>
      </c>
      <c r="V129" s="20">
        <v>0.94092132715746124</v>
      </c>
      <c r="W129" s="20">
        <v>0.24559900671518897</v>
      </c>
    </row>
    <row r="130" spans="1:23" x14ac:dyDescent="0.35">
      <c r="A130" s="26">
        <v>42895</v>
      </c>
      <c r="B130" s="25">
        <v>72.040001000000004</v>
      </c>
      <c r="C130" s="25">
        <v>72.080001999999993</v>
      </c>
      <c r="D130" s="25">
        <v>68.589995999999999</v>
      </c>
      <c r="E130" s="25">
        <v>70.319999999999993</v>
      </c>
      <c r="F130" s="25">
        <v>49187400</v>
      </c>
      <c r="G130" s="25">
        <v>69.597801000000004</v>
      </c>
      <c r="H130" s="19">
        <f t="shared" si="62"/>
        <v>-2.2915171419366314E-2</v>
      </c>
      <c r="I130" s="27">
        <f t="shared" si="81"/>
        <v>0.17085231148072225</v>
      </c>
      <c r="J130" s="25">
        <f t="shared" si="63"/>
        <v>-1.629997000000003</v>
      </c>
      <c r="K130" s="25">
        <f t="shared" si="64"/>
        <v>0</v>
      </c>
      <c r="L130" s="25">
        <f t="shared" si="65"/>
        <v>1.629997000000003</v>
      </c>
      <c r="M130" s="25">
        <f t="shared" ref="M130:N130" si="133">AVERAGE(K117:K130)</f>
        <v>0.38571449999999985</v>
      </c>
      <c r="N130" s="25">
        <f t="shared" si="133"/>
        <v>0.19785750000000085</v>
      </c>
      <c r="O130" s="25">
        <f t="shared" si="83"/>
        <v>1.9494560479132617</v>
      </c>
      <c r="P130" s="25">
        <f t="shared" si="84"/>
        <v>66.095443235795983</v>
      </c>
      <c r="Q130" s="25">
        <f t="shared" si="61"/>
        <v>3.4900059999999939</v>
      </c>
      <c r="R130" s="25">
        <f t="shared" si="79"/>
        <v>1.0414302857142863</v>
      </c>
      <c r="S130" s="25">
        <f t="shared" si="76"/>
        <v>70.826665916666641</v>
      </c>
      <c r="T130" s="20">
        <v>69.79737479269383</v>
      </c>
      <c r="U130" s="20">
        <v>1.0490049157524481</v>
      </c>
      <c r="V130" s="20">
        <v>0.96253804487645866</v>
      </c>
      <c r="W130" s="20">
        <v>8.6466870875989477E-2</v>
      </c>
    </row>
    <row r="131" spans="1:23" x14ac:dyDescent="0.35">
      <c r="A131" s="26">
        <v>42898</v>
      </c>
      <c r="B131" s="25">
        <v>69.25</v>
      </c>
      <c r="C131" s="25">
        <v>69.940002000000007</v>
      </c>
      <c r="D131" s="25">
        <v>68.129997000000003</v>
      </c>
      <c r="E131" s="25">
        <v>69.779999000000004</v>
      </c>
      <c r="F131" s="25">
        <v>47761700</v>
      </c>
      <c r="G131" s="25">
        <v>69.063346999999993</v>
      </c>
      <c r="H131" s="19">
        <f t="shared" si="62"/>
        <v>-7.7088161234005028E-3</v>
      </c>
      <c r="I131" s="27">
        <f t="shared" si="81"/>
        <v>0.1715373179508255</v>
      </c>
      <c r="J131" s="25">
        <f t="shared" si="63"/>
        <v>-0.54000099999998952</v>
      </c>
      <c r="K131" s="25">
        <f t="shared" si="64"/>
        <v>0</v>
      </c>
      <c r="L131" s="25">
        <f t="shared" si="65"/>
        <v>0.54000099999998952</v>
      </c>
      <c r="M131" s="25">
        <f t="shared" ref="M131:N131" si="134">AVERAGE(K118:K131)</f>
        <v>0.33142914285714348</v>
      </c>
      <c r="N131" s="25">
        <f t="shared" si="134"/>
        <v>0.23642900000000008</v>
      </c>
      <c r="O131" s="25">
        <f t="shared" si="83"/>
        <v>1.4018125646902171</v>
      </c>
      <c r="P131" s="25">
        <f t="shared" si="84"/>
        <v>58.364777722404042</v>
      </c>
      <c r="Q131" s="25">
        <f t="shared" ref="Q131:Q194" si="135">ABS(C131-D131)</f>
        <v>1.8100050000000039</v>
      </c>
      <c r="R131" s="25">
        <f t="shared" si="79"/>
        <v>1.0992877857142866</v>
      </c>
      <c r="S131" s="25">
        <f t="shared" si="76"/>
        <v>70.910832749999983</v>
      </c>
      <c r="T131" s="20">
        <v>69.796087696938741</v>
      </c>
      <c r="U131" s="20">
        <v>0.88623344097733536</v>
      </c>
      <c r="V131" s="20">
        <v>0.947277124096634</v>
      </c>
      <c r="W131" s="20">
        <v>-6.1043683119298642E-2</v>
      </c>
    </row>
    <row r="132" spans="1:23" x14ac:dyDescent="0.35">
      <c r="A132" s="26">
        <v>42899</v>
      </c>
      <c r="B132" s="25">
        <v>70.019997000000004</v>
      </c>
      <c r="C132" s="25">
        <v>70.819999999999993</v>
      </c>
      <c r="D132" s="25">
        <v>69.959998999999996</v>
      </c>
      <c r="E132" s="25">
        <v>70.650002000000001</v>
      </c>
      <c r="F132" s="25">
        <v>25258600</v>
      </c>
      <c r="G132" s="25">
        <v>69.924415999999994</v>
      </c>
      <c r="H132" s="19">
        <f t="shared" ref="H132:H195" si="136">LN(G132/G131)</f>
        <v>1.2390731357380684E-2</v>
      </c>
      <c r="I132" s="27">
        <f t="shared" si="81"/>
        <v>0.1777313530111255</v>
      </c>
      <c r="J132" s="25">
        <f t="shared" ref="J132:J195" si="137">E132-E131</f>
        <v>0.87000299999999697</v>
      </c>
      <c r="K132" s="25">
        <f t="shared" ref="K132:K195" si="138">IF(J132&gt;0,J132,0)</f>
        <v>0.87000299999999697</v>
      </c>
      <c r="L132" s="25">
        <f t="shared" ref="L132:L195" si="139">IF(J132&lt;0,ABS(J132),0)</f>
        <v>0</v>
      </c>
      <c r="M132" s="25">
        <f t="shared" ref="M132:N132" si="140">AVERAGE(K119:K132)</f>
        <v>0.37714342857142824</v>
      </c>
      <c r="N132" s="25">
        <f t="shared" si="140"/>
        <v>0.23642900000000008</v>
      </c>
      <c r="O132" s="25">
        <f t="shared" si="83"/>
        <v>1.5951656885214085</v>
      </c>
      <c r="P132" s="25">
        <f t="shared" si="84"/>
        <v>61.466814838718513</v>
      </c>
      <c r="Q132" s="25">
        <f t="shared" si="135"/>
        <v>0.86000099999999691</v>
      </c>
      <c r="R132" s="25">
        <f t="shared" si="79"/>
        <v>1.1342876428571438</v>
      </c>
      <c r="S132" s="25">
        <f t="shared" si="76"/>
        <v>70.996665999999991</v>
      </c>
      <c r="T132" s="20">
        <v>69.859340608276611</v>
      </c>
      <c r="U132" s="20">
        <v>0.81800835457545418</v>
      </c>
      <c r="V132" s="20">
        <v>0.92142337019239806</v>
      </c>
      <c r="W132" s="20">
        <v>-0.10341501561694388</v>
      </c>
    </row>
    <row r="133" spans="1:23" x14ac:dyDescent="0.35">
      <c r="A133" s="26">
        <v>42900</v>
      </c>
      <c r="B133" s="25">
        <v>70.910004000000001</v>
      </c>
      <c r="C133" s="25">
        <v>71.099997999999999</v>
      </c>
      <c r="D133" s="25">
        <v>69.430000000000007</v>
      </c>
      <c r="E133" s="25">
        <v>70.269997000000004</v>
      </c>
      <c r="F133" s="25">
        <v>25510700</v>
      </c>
      <c r="G133" s="25">
        <v>69.548309000000003</v>
      </c>
      <c r="H133" s="19">
        <f t="shared" si="136"/>
        <v>-5.3932826173312964E-3</v>
      </c>
      <c r="I133" s="27">
        <f t="shared" si="81"/>
        <v>0.18050417876108701</v>
      </c>
      <c r="J133" s="25">
        <f t="shared" si="137"/>
        <v>-0.38000499999999704</v>
      </c>
      <c r="K133" s="25">
        <f t="shared" si="138"/>
        <v>0</v>
      </c>
      <c r="L133" s="25">
        <f t="shared" si="139"/>
        <v>0.38000499999999704</v>
      </c>
      <c r="M133" s="25">
        <f t="shared" ref="M133:N133" si="141">AVERAGE(K120:K133)</f>
        <v>0.3707150714285713</v>
      </c>
      <c r="N133" s="25">
        <f t="shared" si="141"/>
        <v>0.26357221428571415</v>
      </c>
      <c r="O133" s="25">
        <f t="shared" si="83"/>
        <v>1.4065028532435271</v>
      </c>
      <c r="P133" s="25">
        <f t="shared" si="84"/>
        <v>58.445925021356935</v>
      </c>
      <c r="Q133" s="25">
        <f t="shared" si="135"/>
        <v>1.6699979999999925</v>
      </c>
      <c r="R133" s="25">
        <f t="shared" si="79"/>
        <v>1.2228589285714284</v>
      </c>
      <c r="S133" s="25">
        <f t="shared" si="76"/>
        <v>71.022499166666663</v>
      </c>
      <c r="T133" s="20">
        <v>69.889759600256113</v>
      </c>
      <c r="U133" s="20">
        <v>0.72491982984948322</v>
      </c>
      <c r="V133" s="20">
        <v>0.88212266212381518</v>
      </c>
      <c r="W133" s="20">
        <v>-0.15720283227433196</v>
      </c>
    </row>
    <row r="134" spans="1:23" x14ac:dyDescent="0.35">
      <c r="A134" s="26">
        <v>42901</v>
      </c>
      <c r="B134" s="25">
        <v>69.269997000000004</v>
      </c>
      <c r="C134" s="25">
        <v>70.209998999999996</v>
      </c>
      <c r="D134" s="25">
        <v>68.800003000000004</v>
      </c>
      <c r="E134" s="25">
        <v>69.900002000000001</v>
      </c>
      <c r="F134" s="25">
        <v>26068700</v>
      </c>
      <c r="G134" s="25">
        <v>69.182113999999999</v>
      </c>
      <c r="H134" s="19">
        <f t="shared" si="136"/>
        <v>-5.2792436234424334E-3</v>
      </c>
      <c r="I134" s="27">
        <f t="shared" si="81"/>
        <v>0.17555369071091942</v>
      </c>
      <c r="J134" s="25">
        <f t="shared" si="137"/>
        <v>-0.36999500000000296</v>
      </c>
      <c r="K134" s="25">
        <f t="shared" si="138"/>
        <v>0</v>
      </c>
      <c r="L134" s="25">
        <f t="shared" si="139"/>
        <v>0.36999500000000296</v>
      </c>
      <c r="M134" s="25">
        <f t="shared" ref="M134:N134" si="142">AVERAGE(K121:K134)</f>
        <v>0.31000035714285751</v>
      </c>
      <c r="N134" s="25">
        <f t="shared" si="142"/>
        <v>0.29000042857142866</v>
      </c>
      <c r="O134" s="25">
        <f t="shared" si="83"/>
        <v>1.0689651690169926</v>
      </c>
      <c r="P134" s="25">
        <f t="shared" si="84"/>
        <v>51.66665853175671</v>
      </c>
      <c r="Q134" s="25">
        <f t="shared" si="135"/>
        <v>1.4099959999999925</v>
      </c>
      <c r="R134" s="25">
        <f t="shared" si="79"/>
        <v>1.2542877142857134</v>
      </c>
      <c r="S134" s="25">
        <f t="shared" si="76"/>
        <v>70.979998999999992</v>
      </c>
      <c r="T134" s="20">
        <v>69.890518296533429</v>
      </c>
      <c r="U134" s="20">
        <v>0.61421075970976347</v>
      </c>
      <c r="V134" s="20">
        <v>0.82854028164100491</v>
      </c>
      <c r="W134" s="20">
        <v>-0.21432952193124144</v>
      </c>
    </row>
    <row r="135" spans="1:23" x14ac:dyDescent="0.35">
      <c r="A135" s="26">
        <v>42902</v>
      </c>
      <c r="B135" s="25">
        <v>69.730002999999996</v>
      </c>
      <c r="C135" s="25">
        <v>70.029999000000004</v>
      </c>
      <c r="D135" s="25">
        <v>69.220000999999996</v>
      </c>
      <c r="E135" s="25">
        <v>70</v>
      </c>
      <c r="F135" s="25">
        <v>48345100</v>
      </c>
      <c r="G135" s="25">
        <v>69.281090000000006</v>
      </c>
      <c r="H135" s="19">
        <f t="shared" si="136"/>
        <v>1.4296363798972556E-3</v>
      </c>
      <c r="I135" s="27">
        <f t="shared" si="81"/>
        <v>0.17441482786608159</v>
      </c>
      <c r="J135" s="25">
        <f t="shared" si="137"/>
        <v>9.9997999999999365E-2</v>
      </c>
      <c r="K135" s="25">
        <f t="shared" si="138"/>
        <v>9.9997999999999365E-2</v>
      </c>
      <c r="L135" s="25">
        <f t="shared" si="139"/>
        <v>0</v>
      </c>
      <c r="M135" s="25">
        <f t="shared" ref="M135:N135" si="143">AVERAGE(K122:K135)</f>
        <v>0.29285764285714322</v>
      </c>
      <c r="N135" s="25">
        <f t="shared" si="143"/>
        <v>0.29000042857142866</v>
      </c>
      <c r="O135" s="25">
        <f t="shared" si="83"/>
        <v>1.0098524484939195</v>
      </c>
      <c r="P135" s="25">
        <f t="shared" si="84"/>
        <v>50.245103776182738</v>
      </c>
      <c r="Q135" s="25">
        <f t="shared" si="135"/>
        <v>0.80999800000000732</v>
      </c>
      <c r="R135" s="25">
        <f t="shared" si="79"/>
        <v>1.2621444285714287</v>
      </c>
      <c r="S135" s="25">
        <f t="shared" si="76"/>
        <v>70.99333266666666</v>
      </c>
      <c r="T135" s="20">
        <v>69.898628052345771</v>
      </c>
      <c r="U135" s="20">
        <v>0.5284503798600042</v>
      </c>
      <c r="V135" s="20">
        <v>0.76852230128480481</v>
      </c>
      <c r="W135" s="20">
        <v>-0.24007192142480061</v>
      </c>
    </row>
    <row r="136" spans="1:23" x14ac:dyDescent="0.35">
      <c r="A136" s="26">
        <v>42905</v>
      </c>
      <c r="B136" s="25">
        <v>70.5</v>
      </c>
      <c r="C136" s="25">
        <v>70.940002000000007</v>
      </c>
      <c r="D136" s="25">
        <v>70.349997999999999</v>
      </c>
      <c r="E136" s="25">
        <v>70.870002999999997</v>
      </c>
      <c r="F136" s="25">
        <v>23798300</v>
      </c>
      <c r="G136" s="25">
        <v>70.142150999999998</v>
      </c>
      <c r="H136" s="19">
        <f t="shared" si="136"/>
        <v>1.2351914091992162E-2</v>
      </c>
      <c r="I136" s="27">
        <f t="shared" si="81"/>
        <v>0.18034093762996273</v>
      </c>
      <c r="J136" s="25">
        <f t="shared" si="137"/>
        <v>0.87000299999999697</v>
      </c>
      <c r="K136" s="25">
        <f t="shared" si="138"/>
        <v>0.87000299999999697</v>
      </c>
      <c r="L136" s="25">
        <f t="shared" si="139"/>
        <v>0</v>
      </c>
      <c r="M136" s="25">
        <f t="shared" ref="M136:N136" si="144">AVERAGE(K123:K136)</f>
        <v>0.32285749999999985</v>
      </c>
      <c r="N136" s="25">
        <f t="shared" si="144"/>
        <v>0.29000042857142866</v>
      </c>
      <c r="O136" s="25">
        <f t="shared" si="83"/>
        <v>1.1133000788668777</v>
      </c>
      <c r="P136" s="25">
        <f t="shared" si="84"/>
        <v>52.680643416424502</v>
      </c>
      <c r="Q136" s="25">
        <f t="shared" si="135"/>
        <v>0.59000400000000752</v>
      </c>
      <c r="R136" s="25">
        <f t="shared" si="79"/>
        <v>1.2585727857142868</v>
      </c>
      <c r="S136" s="25">
        <f t="shared" si="76"/>
        <v>71.057499749999991</v>
      </c>
      <c r="T136" s="20">
        <v>69.970581752172009</v>
      </c>
      <c r="U136" s="20">
        <v>0.52463892123287792</v>
      </c>
      <c r="V136" s="20">
        <v>0.71974562527441943</v>
      </c>
      <c r="W136" s="20">
        <v>-0.19510670404154151</v>
      </c>
    </row>
    <row r="137" spans="1:23" x14ac:dyDescent="0.35">
      <c r="A137" s="26">
        <v>42906</v>
      </c>
      <c r="B137" s="25">
        <v>70.819999999999993</v>
      </c>
      <c r="C137" s="25">
        <v>70.870002999999997</v>
      </c>
      <c r="D137" s="25">
        <v>69.870002999999997</v>
      </c>
      <c r="E137" s="25">
        <v>69.910004000000001</v>
      </c>
      <c r="F137" s="25">
        <v>21512200</v>
      </c>
      <c r="G137" s="25">
        <v>69.192017000000007</v>
      </c>
      <c r="H137" s="19">
        <f t="shared" si="136"/>
        <v>-1.3638416781432185E-2</v>
      </c>
      <c r="I137" s="27">
        <f t="shared" si="81"/>
        <v>0.18682890424599419</v>
      </c>
      <c r="J137" s="25">
        <f t="shared" si="137"/>
        <v>-0.95999899999999627</v>
      </c>
      <c r="K137" s="25">
        <f t="shared" si="138"/>
        <v>0</v>
      </c>
      <c r="L137" s="25">
        <f t="shared" si="139"/>
        <v>0.95999899999999627</v>
      </c>
      <c r="M137" s="25">
        <f t="shared" ref="M137:N137" si="145">AVERAGE(K124:K137)</f>
        <v>0.32285749999999985</v>
      </c>
      <c r="N137" s="25">
        <f t="shared" si="145"/>
        <v>0.31785692857142828</v>
      </c>
      <c r="O137" s="25">
        <f t="shared" si="83"/>
        <v>1.015732145437402</v>
      </c>
      <c r="P137" s="25">
        <f t="shared" si="84"/>
        <v>50.390234026703688</v>
      </c>
      <c r="Q137" s="25">
        <f t="shared" si="135"/>
        <v>1</v>
      </c>
      <c r="R137" s="25">
        <f t="shared" si="79"/>
        <v>1.2635727857142862</v>
      </c>
      <c r="S137" s="25">
        <f t="shared" si="76"/>
        <v>70.903333249999989</v>
      </c>
      <c r="T137" s="20">
        <v>69.96609451127037</v>
      </c>
      <c r="U137" s="20">
        <v>0.43909282776454006</v>
      </c>
      <c r="V137" s="20">
        <v>0.66361506577244356</v>
      </c>
      <c r="W137" s="20">
        <v>-0.2245222380079035</v>
      </c>
    </row>
    <row r="138" spans="1:23" x14ac:dyDescent="0.35">
      <c r="A138" s="26">
        <v>42907</v>
      </c>
      <c r="B138" s="25">
        <v>70.209998999999996</v>
      </c>
      <c r="C138" s="25">
        <v>70.620002999999997</v>
      </c>
      <c r="D138" s="25">
        <v>69.940002000000007</v>
      </c>
      <c r="E138" s="25">
        <v>70.269997000000004</v>
      </c>
      <c r="F138" s="25">
        <v>19891100</v>
      </c>
      <c r="G138" s="25">
        <v>69.548309000000003</v>
      </c>
      <c r="H138" s="19">
        <f t="shared" si="136"/>
        <v>5.1361099329851724E-3</v>
      </c>
      <c r="I138" s="27">
        <f t="shared" si="81"/>
        <v>0.18746200132172619</v>
      </c>
      <c r="J138" s="25">
        <f t="shared" si="137"/>
        <v>0.35999300000000289</v>
      </c>
      <c r="K138" s="25">
        <f t="shared" si="138"/>
        <v>0.35999300000000289</v>
      </c>
      <c r="L138" s="25">
        <f t="shared" si="139"/>
        <v>0</v>
      </c>
      <c r="M138" s="25">
        <f t="shared" ref="M138:N138" si="146">AVERAGE(K125:K138)</f>
        <v>0.32999971428571434</v>
      </c>
      <c r="N138" s="25">
        <f t="shared" si="146"/>
        <v>0.31785692857142828</v>
      </c>
      <c r="O138" s="25">
        <f t="shared" si="83"/>
        <v>1.038202048226101</v>
      </c>
      <c r="P138" s="25">
        <f t="shared" si="84"/>
        <v>50.93715066814277</v>
      </c>
      <c r="Q138" s="25">
        <f t="shared" si="135"/>
        <v>0.68000099999999009</v>
      </c>
      <c r="R138" s="25">
        <f t="shared" si="79"/>
        <v>1.2292868571428568</v>
      </c>
      <c r="S138" s="25">
        <f t="shared" si="76"/>
        <v>70.735833083333318</v>
      </c>
      <c r="T138" s="20">
        <v>69.988605806731826</v>
      </c>
      <c r="U138" s="20">
        <v>0.39578301860541387</v>
      </c>
      <c r="V138" s="20">
        <v>0.61004865633903771</v>
      </c>
      <c r="W138" s="20">
        <v>-0.21426563773362384</v>
      </c>
    </row>
    <row r="139" spans="1:23" x14ac:dyDescent="0.35">
      <c r="A139" s="26">
        <v>42908</v>
      </c>
      <c r="B139" s="25">
        <v>70.540001000000004</v>
      </c>
      <c r="C139" s="25">
        <v>70.589995999999999</v>
      </c>
      <c r="D139" s="25">
        <v>69.709998999999996</v>
      </c>
      <c r="E139" s="25">
        <v>70.260002</v>
      </c>
      <c r="F139" s="25">
        <v>22965700</v>
      </c>
      <c r="G139" s="25">
        <v>69.538421999999997</v>
      </c>
      <c r="H139" s="19">
        <f t="shared" si="136"/>
        <v>-1.4217028390236381E-4</v>
      </c>
      <c r="I139" s="27">
        <f t="shared" si="81"/>
        <v>0.15464240005179819</v>
      </c>
      <c r="J139" s="25">
        <f t="shared" si="137"/>
        <v>-9.9950000000035288E-3</v>
      </c>
      <c r="K139" s="25">
        <f t="shared" si="138"/>
        <v>0</v>
      </c>
      <c r="L139" s="25">
        <f t="shared" si="139"/>
        <v>9.9950000000035288E-3</v>
      </c>
      <c r="M139" s="25">
        <f t="shared" ref="M139:N139" si="147">AVERAGE(K126:K139)</f>
        <v>0.21142799999999998</v>
      </c>
      <c r="N139" s="25">
        <f t="shared" si="147"/>
        <v>0.3185708571428571</v>
      </c>
      <c r="O139" s="25">
        <f t="shared" si="83"/>
        <v>0.6636765267740391</v>
      </c>
      <c r="P139" s="25">
        <f t="shared" si="84"/>
        <v>39.892161492531528</v>
      </c>
      <c r="Q139" s="25">
        <f t="shared" si="135"/>
        <v>0.87999700000000303</v>
      </c>
      <c r="R139" s="25">
        <f t="shared" si="79"/>
        <v>1.176429285714286</v>
      </c>
      <c r="S139" s="25">
        <f t="shared" si="76"/>
        <v>70.547500166666651</v>
      </c>
      <c r="T139" s="20">
        <v>70.008709228455402</v>
      </c>
      <c r="U139" s="20">
        <v>0.35654316221457805</v>
      </c>
      <c r="V139" s="20">
        <v>0.55934755751414578</v>
      </c>
      <c r="W139" s="20">
        <v>-0.20280439529956773</v>
      </c>
    </row>
    <row r="140" spans="1:23" x14ac:dyDescent="0.35">
      <c r="A140" s="26">
        <v>42909</v>
      </c>
      <c r="B140" s="25">
        <v>70.089995999999999</v>
      </c>
      <c r="C140" s="25">
        <v>71.25</v>
      </c>
      <c r="D140" s="25">
        <v>69.919998000000007</v>
      </c>
      <c r="E140" s="25">
        <v>71.209998999999996</v>
      </c>
      <c r="F140" s="25">
        <v>27617300</v>
      </c>
      <c r="G140" s="25">
        <v>70.478661000000002</v>
      </c>
      <c r="H140" s="19">
        <f t="shared" si="136"/>
        <v>1.3430548803657537E-2</v>
      </c>
      <c r="I140" s="27">
        <f t="shared" si="81"/>
        <v>0.16343259555481449</v>
      </c>
      <c r="J140" s="25">
        <f t="shared" si="137"/>
        <v>0.94999699999999621</v>
      </c>
      <c r="K140" s="25">
        <f t="shared" si="138"/>
        <v>0.94999699999999621</v>
      </c>
      <c r="L140" s="25">
        <f t="shared" si="139"/>
        <v>0</v>
      </c>
      <c r="M140" s="25">
        <f t="shared" ref="M140:N140" si="148">AVERAGE(K127:K140)</f>
        <v>0.24214228571428517</v>
      </c>
      <c r="N140" s="25">
        <f t="shared" si="148"/>
        <v>0.3185708571428571</v>
      </c>
      <c r="O140" s="25">
        <f t="shared" si="83"/>
        <v>0.76008925576547959</v>
      </c>
      <c r="P140" s="25">
        <f t="shared" si="84"/>
        <v>43.184699484737756</v>
      </c>
      <c r="Q140" s="25">
        <f t="shared" si="135"/>
        <v>1.3300019999999932</v>
      </c>
      <c r="R140" s="25">
        <f t="shared" si="79"/>
        <v>1.1942864999999989</v>
      </c>
      <c r="S140" s="25">
        <f t="shared" si="76"/>
        <v>70.449166833333337</v>
      </c>
      <c r="T140" s="20">
        <v>70.097693655977224</v>
      </c>
      <c r="U140" s="20">
        <v>0.39751975151276042</v>
      </c>
      <c r="V140" s="20">
        <v>0.52698199631386866</v>
      </c>
      <c r="W140" s="20">
        <v>-0.12946224480110824</v>
      </c>
    </row>
    <row r="141" spans="1:23" x14ac:dyDescent="0.35">
      <c r="A141" s="26">
        <v>42912</v>
      </c>
      <c r="B141" s="25">
        <v>71.400002000000001</v>
      </c>
      <c r="C141" s="25">
        <v>71.709998999999996</v>
      </c>
      <c r="D141" s="25">
        <v>70.440002000000007</v>
      </c>
      <c r="E141" s="25">
        <v>70.529999000000004</v>
      </c>
      <c r="F141" s="25">
        <v>19607000</v>
      </c>
      <c r="G141" s="25">
        <v>69.805649000000003</v>
      </c>
      <c r="H141" s="19">
        <f t="shared" si="136"/>
        <v>-9.5950454244017724E-3</v>
      </c>
      <c r="I141" s="27">
        <f t="shared" si="81"/>
        <v>0.16588522088737909</v>
      </c>
      <c r="J141" s="25">
        <f t="shared" si="137"/>
        <v>-0.67999999999999261</v>
      </c>
      <c r="K141" s="25">
        <f t="shared" si="138"/>
        <v>0</v>
      </c>
      <c r="L141" s="25">
        <f t="shared" si="139"/>
        <v>0.67999999999999261</v>
      </c>
      <c r="M141" s="25">
        <f t="shared" ref="M141:N141" si="149">AVERAGE(K128:K141)</f>
        <v>0.22499957142857088</v>
      </c>
      <c r="N141" s="25">
        <f t="shared" si="149"/>
        <v>0.36714228571428514</v>
      </c>
      <c r="O141" s="25">
        <f t="shared" si="83"/>
        <v>0.61284025344786475</v>
      </c>
      <c r="P141" s="25">
        <f t="shared" si="84"/>
        <v>37.997579248022838</v>
      </c>
      <c r="Q141" s="25">
        <f t="shared" si="135"/>
        <v>1.2699969999999894</v>
      </c>
      <c r="R141" s="25">
        <f t="shared" si="79"/>
        <v>1.2600001428571415</v>
      </c>
      <c r="S141" s="25">
        <f t="shared" ref="S141:S204" si="150">AVERAGE(E130:E141)</f>
        <v>70.330833666666663</v>
      </c>
      <c r="T141" s="20">
        <v>70.129716274052981</v>
      </c>
      <c r="U141" s="20">
        <v>0.37084876305392811</v>
      </c>
      <c r="V141" s="20">
        <v>0.49575534966188056</v>
      </c>
      <c r="W141" s="20">
        <v>-0.12490658660795245</v>
      </c>
    </row>
    <row r="142" spans="1:23" x14ac:dyDescent="0.35">
      <c r="A142" s="26">
        <v>42913</v>
      </c>
      <c r="B142" s="25">
        <v>70.110000999999997</v>
      </c>
      <c r="C142" s="25">
        <v>70.180000000000007</v>
      </c>
      <c r="D142" s="25">
        <v>69.180000000000007</v>
      </c>
      <c r="E142" s="25">
        <v>69.209998999999996</v>
      </c>
      <c r="F142" s="25">
        <v>25215100</v>
      </c>
      <c r="G142" s="25">
        <v>68.499199000000004</v>
      </c>
      <c r="H142" s="19">
        <f t="shared" si="136"/>
        <v>-1.8892885956509013E-2</v>
      </c>
      <c r="I142" s="27">
        <f t="shared" si="81"/>
        <v>0.1806996837487034</v>
      </c>
      <c r="J142" s="25">
        <f t="shared" si="137"/>
        <v>-1.3200000000000074</v>
      </c>
      <c r="K142" s="25">
        <f t="shared" si="138"/>
        <v>0</v>
      </c>
      <c r="L142" s="25">
        <f t="shared" si="139"/>
        <v>1.3200000000000074</v>
      </c>
      <c r="M142" s="25">
        <f t="shared" ref="M142:N142" si="151">AVERAGE(K129:K142)</f>
        <v>0.22499957142857088</v>
      </c>
      <c r="N142" s="25">
        <f t="shared" si="151"/>
        <v>0.4521424285714285</v>
      </c>
      <c r="O142" s="25">
        <f t="shared" si="83"/>
        <v>0.49762985557332168</v>
      </c>
      <c r="P142" s="25">
        <f t="shared" si="84"/>
        <v>33.227826870666874</v>
      </c>
      <c r="Q142" s="25">
        <f t="shared" si="135"/>
        <v>1</v>
      </c>
      <c r="R142" s="25">
        <f t="shared" si="79"/>
        <v>1.2728572857142839</v>
      </c>
      <c r="S142" s="25">
        <f t="shared" si="150"/>
        <v>70.238333583333343</v>
      </c>
      <c r="T142" s="20">
        <v>70.061589068567571</v>
      </c>
      <c r="U142" s="20">
        <v>0.24042734744597283</v>
      </c>
      <c r="V142" s="20">
        <v>0.44468974921869903</v>
      </c>
      <c r="W142" s="20">
        <v>-0.2042624017727262</v>
      </c>
    </row>
    <row r="143" spans="1:23" x14ac:dyDescent="0.35">
      <c r="A143" s="26">
        <v>42914</v>
      </c>
      <c r="B143" s="25">
        <v>69.209998999999996</v>
      </c>
      <c r="C143" s="25">
        <v>69.839995999999999</v>
      </c>
      <c r="D143" s="25">
        <v>68.790001000000004</v>
      </c>
      <c r="E143" s="25">
        <v>69.800003000000004</v>
      </c>
      <c r="F143" s="25">
        <v>25806200</v>
      </c>
      <c r="G143" s="25">
        <v>69.083145000000002</v>
      </c>
      <c r="H143" s="19">
        <f t="shared" si="136"/>
        <v>8.488727398308759E-3</v>
      </c>
      <c r="I143" s="27">
        <f t="shared" si="81"/>
        <v>0.18667770356503521</v>
      </c>
      <c r="J143" s="25">
        <f t="shared" si="137"/>
        <v>0.59000400000000752</v>
      </c>
      <c r="K143" s="25">
        <f t="shared" si="138"/>
        <v>0.59000400000000752</v>
      </c>
      <c r="L143" s="25">
        <f t="shared" si="139"/>
        <v>0</v>
      </c>
      <c r="M143" s="25">
        <f t="shared" ref="M143:N143" si="152">AVERAGE(K130:K143)</f>
        <v>0.26714271428571429</v>
      </c>
      <c r="N143" s="25">
        <f t="shared" si="152"/>
        <v>0.42071371428571375</v>
      </c>
      <c r="O143" s="25">
        <f t="shared" si="83"/>
        <v>0.63497505599328574</v>
      </c>
      <c r="P143" s="25">
        <f t="shared" si="84"/>
        <v>38.83698736966501</v>
      </c>
      <c r="Q143" s="25">
        <f t="shared" si="135"/>
        <v>1.0499949999999956</v>
      </c>
      <c r="R143" s="25">
        <f t="shared" ref="R143:R206" si="153">AVERAGE(Q130:Q143)</f>
        <v>1.2749999999999975</v>
      </c>
      <c r="S143" s="25">
        <f t="shared" si="150"/>
        <v>70.240000583333355</v>
      </c>
      <c r="T143" s="20">
        <v>70.042212322747744</v>
      </c>
      <c r="U143" s="20">
        <v>0.18257126003294388</v>
      </c>
      <c r="V143" s="20">
        <v>0.39226605138154802</v>
      </c>
      <c r="W143" s="20">
        <v>-0.20969479134860414</v>
      </c>
    </row>
    <row r="144" spans="1:23" x14ac:dyDescent="0.35">
      <c r="A144" s="26">
        <v>42915</v>
      </c>
      <c r="B144" s="25">
        <v>69.379997000000003</v>
      </c>
      <c r="C144" s="25">
        <v>69.489998</v>
      </c>
      <c r="D144" s="25">
        <v>68.089995999999999</v>
      </c>
      <c r="E144" s="25">
        <v>68.489998</v>
      </c>
      <c r="F144" s="25">
        <v>28918700</v>
      </c>
      <c r="G144" s="25">
        <v>67.786597999999998</v>
      </c>
      <c r="H144" s="19">
        <f t="shared" si="136"/>
        <v>-1.8946273376845742E-2</v>
      </c>
      <c r="I144" s="27">
        <f t="shared" si="81"/>
        <v>0.1787164018540485</v>
      </c>
      <c r="J144" s="25">
        <f t="shared" si="137"/>
        <v>-1.3100050000000039</v>
      </c>
      <c r="K144" s="25">
        <f t="shared" si="138"/>
        <v>0</v>
      </c>
      <c r="L144" s="25">
        <f t="shared" si="139"/>
        <v>1.3100050000000039</v>
      </c>
      <c r="M144" s="25">
        <f t="shared" ref="M144:N144" si="154">AVERAGE(K131:K144)</f>
        <v>0.26714271428571429</v>
      </c>
      <c r="N144" s="25">
        <f t="shared" si="154"/>
        <v>0.39785714285714235</v>
      </c>
      <c r="O144" s="25">
        <f t="shared" si="83"/>
        <v>0.67145385996409424</v>
      </c>
      <c r="P144" s="25">
        <f t="shared" si="84"/>
        <v>40.171845364521054</v>
      </c>
      <c r="Q144" s="25">
        <f t="shared" si="135"/>
        <v>1.4000020000000006</v>
      </c>
      <c r="R144" s="25">
        <f t="shared" si="153"/>
        <v>1.1257139999999981</v>
      </c>
      <c r="S144" s="25">
        <f t="shared" si="150"/>
        <v>70.060000250000016</v>
      </c>
      <c r="T144" s="20">
        <v>69.927233484025692</v>
      </c>
      <c r="U144" s="20">
        <v>3.0660009096436625E-2</v>
      </c>
      <c r="V144" s="20">
        <v>0.31994484292452574</v>
      </c>
      <c r="W144" s="20">
        <v>-0.28928483382808912</v>
      </c>
    </row>
    <row r="145" spans="1:23" x14ac:dyDescent="0.35">
      <c r="A145" s="26">
        <v>42916</v>
      </c>
      <c r="B145" s="25">
        <v>68.779999000000004</v>
      </c>
      <c r="C145" s="25">
        <v>69.379997000000003</v>
      </c>
      <c r="D145" s="25">
        <v>68.739998</v>
      </c>
      <c r="E145" s="25">
        <v>68.930000000000007</v>
      </c>
      <c r="F145" s="25">
        <v>24161100</v>
      </c>
      <c r="G145" s="25">
        <v>68.222076000000001</v>
      </c>
      <c r="H145" s="19">
        <f t="shared" si="136"/>
        <v>6.40370169553354E-3</v>
      </c>
      <c r="I145" s="27">
        <f t="shared" ref="I145:I208" si="155">STDEV(H132:H145)*SQRT(252)</f>
        <v>0.1798256227036126</v>
      </c>
      <c r="J145" s="25">
        <f t="shared" si="137"/>
        <v>0.44000200000000689</v>
      </c>
      <c r="K145" s="25">
        <f t="shared" si="138"/>
        <v>0.44000200000000689</v>
      </c>
      <c r="L145" s="25">
        <f t="shared" si="139"/>
        <v>0</v>
      </c>
      <c r="M145" s="25">
        <f t="shared" ref="M145:N145" si="156">AVERAGE(K132:K145)</f>
        <v>0.29857142857142904</v>
      </c>
      <c r="N145" s="25">
        <f t="shared" si="156"/>
        <v>0.35928564285714309</v>
      </c>
      <c r="O145" s="25">
        <f t="shared" ref="O145:O208" si="157">M145/N145</f>
        <v>0.83101408171254187</v>
      </c>
      <c r="P145" s="25">
        <f t="shared" ref="P145:P208" si="158">IF(N145=0,100,100-(100/(1+O145)))</f>
        <v>45.385455525022337</v>
      </c>
      <c r="Q145" s="25">
        <f t="shared" si="135"/>
        <v>0.63999900000000309</v>
      </c>
      <c r="R145" s="25">
        <f t="shared" si="153"/>
        <v>1.0421421428571409</v>
      </c>
      <c r="S145" s="25">
        <f t="shared" si="150"/>
        <v>69.948333833333336</v>
      </c>
      <c r="T145" s="20">
        <v>69.853364337060825</v>
      </c>
      <c r="U145" s="20">
        <v>-5.3608304419029196E-2</v>
      </c>
      <c r="V145" s="20">
        <v>0.24523421345581475</v>
      </c>
      <c r="W145" s="20">
        <v>-0.29884251787484395</v>
      </c>
    </row>
    <row r="146" spans="1:23" x14ac:dyDescent="0.35">
      <c r="A146" s="26">
        <v>42919</v>
      </c>
      <c r="B146" s="25">
        <v>69.330001999999993</v>
      </c>
      <c r="C146" s="25">
        <v>69.599997999999999</v>
      </c>
      <c r="D146" s="25">
        <v>68.019997000000004</v>
      </c>
      <c r="E146" s="25">
        <v>68.169998000000007</v>
      </c>
      <c r="F146" s="25">
        <v>16165500</v>
      </c>
      <c r="G146" s="25">
        <v>67.469879000000006</v>
      </c>
      <c r="H146" s="19">
        <f t="shared" si="136"/>
        <v>-1.1086946238079303E-2</v>
      </c>
      <c r="I146" s="27">
        <f t="shared" si="155"/>
        <v>0.17373505925376614</v>
      </c>
      <c r="J146" s="25">
        <f t="shared" si="137"/>
        <v>-0.76000200000000007</v>
      </c>
      <c r="K146" s="25">
        <f t="shared" si="138"/>
        <v>0</v>
      </c>
      <c r="L146" s="25">
        <f t="shared" si="139"/>
        <v>0.76000200000000007</v>
      </c>
      <c r="M146" s="25">
        <f t="shared" ref="M146:N146" si="159">AVERAGE(K133:K146)</f>
        <v>0.23642835714285784</v>
      </c>
      <c r="N146" s="25">
        <f t="shared" si="159"/>
        <v>0.41357150000000026</v>
      </c>
      <c r="O146" s="25">
        <f t="shared" si="157"/>
        <v>0.57167468537570332</v>
      </c>
      <c r="P146" s="25">
        <f t="shared" si="158"/>
        <v>36.373601400791571</v>
      </c>
      <c r="Q146" s="25">
        <f t="shared" si="135"/>
        <v>1.5800009999999958</v>
      </c>
      <c r="R146" s="25">
        <f t="shared" si="153"/>
        <v>1.0935707142857123</v>
      </c>
      <c r="S146" s="25">
        <f t="shared" si="150"/>
        <v>69.804166833333326</v>
      </c>
      <c r="T146" s="20">
        <v>69.728670534315569</v>
      </c>
      <c r="U146" s="20">
        <v>-0.17964650669559035</v>
      </c>
      <c r="V146" s="20">
        <v>0.16025806942553375</v>
      </c>
      <c r="W146" s="20">
        <v>-0.33990457612112412</v>
      </c>
    </row>
    <row r="147" spans="1:23" x14ac:dyDescent="0.35">
      <c r="A147" s="26">
        <v>42921</v>
      </c>
      <c r="B147" s="25">
        <v>68.260002</v>
      </c>
      <c r="C147" s="25">
        <v>69.440002000000007</v>
      </c>
      <c r="D147" s="25">
        <v>68.220000999999996</v>
      </c>
      <c r="E147" s="25">
        <v>69.080001999999993</v>
      </c>
      <c r="F147" s="25">
        <v>21176300</v>
      </c>
      <c r="G147" s="25">
        <v>68.370543999999995</v>
      </c>
      <c r="H147" s="19">
        <f t="shared" si="136"/>
        <v>1.3260827352134505E-2</v>
      </c>
      <c r="I147" s="27">
        <f t="shared" si="155"/>
        <v>0.1854532150632669</v>
      </c>
      <c r="J147" s="25">
        <f t="shared" si="137"/>
        <v>0.91000399999998649</v>
      </c>
      <c r="K147" s="25">
        <f t="shared" si="138"/>
        <v>0.91000399999998649</v>
      </c>
      <c r="L147" s="25">
        <f t="shared" si="139"/>
        <v>0</v>
      </c>
      <c r="M147" s="25">
        <f t="shared" ref="M147:N147" si="160">AVERAGE(K134:K147)</f>
        <v>0.3014286428571426</v>
      </c>
      <c r="N147" s="25">
        <f t="shared" si="160"/>
        <v>0.38642828571428617</v>
      </c>
      <c r="O147" s="25">
        <f t="shared" si="157"/>
        <v>0.78003773015728506</v>
      </c>
      <c r="P147" s="25">
        <f t="shared" si="158"/>
        <v>43.821415520690138</v>
      </c>
      <c r="Q147" s="25">
        <f t="shared" si="135"/>
        <v>1.2200010000000105</v>
      </c>
      <c r="R147" s="25">
        <f t="shared" si="153"/>
        <v>1.0614280714285707</v>
      </c>
      <c r="S147" s="25">
        <f t="shared" si="150"/>
        <v>69.727500333333339</v>
      </c>
      <c r="T147" s="20">
        <v>69.680621013255148</v>
      </c>
      <c r="U147" s="20">
        <v>-0.2037542206536358</v>
      </c>
      <c r="V147" s="20">
        <v>8.7455611409699846E-2</v>
      </c>
      <c r="W147" s="20">
        <v>-0.29120983206333562</v>
      </c>
    </row>
    <row r="148" spans="1:23" x14ac:dyDescent="0.35">
      <c r="A148" s="26">
        <v>42922</v>
      </c>
      <c r="B148" s="25">
        <v>68.269997000000004</v>
      </c>
      <c r="C148" s="25">
        <v>68.779999000000004</v>
      </c>
      <c r="D148" s="25">
        <v>68.120002999999997</v>
      </c>
      <c r="E148" s="25">
        <v>68.569999999999993</v>
      </c>
      <c r="F148" s="25">
        <v>21117600</v>
      </c>
      <c r="G148" s="25">
        <v>67.865775999999997</v>
      </c>
      <c r="H148" s="19">
        <f t="shared" si="136"/>
        <v>-7.4102164501674769E-3</v>
      </c>
      <c r="I148" s="27">
        <f t="shared" si="155"/>
        <v>0.18657437079486155</v>
      </c>
      <c r="J148" s="25">
        <f t="shared" si="137"/>
        <v>-0.51000200000000007</v>
      </c>
      <c r="K148" s="25">
        <f t="shared" si="138"/>
        <v>0</v>
      </c>
      <c r="L148" s="25">
        <f t="shared" si="139"/>
        <v>0.51000200000000007</v>
      </c>
      <c r="M148" s="25">
        <f t="shared" ref="M148:N148" si="161">AVERAGE(K135:K148)</f>
        <v>0.3014286428571426</v>
      </c>
      <c r="N148" s="25">
        <f t="shared" si="161"/>
        <v>0.39642878571428597</v>
      </c>
      <c r="O148" s="25">
        <f t="shared" si="157"/>
        <v>0.76036012953506393</v>
      </c>
      <c r="P148" s="25">
        <f t="shared" si="158"/>
        <v>43.193441886001239</v>
      </c>
      <c r="Q148" s="25">
        <f t="shared" si="135"/>
        <v>0.65999600000000669</v>
      </c>
      <c r="R148" s="25">
        <f t="shared" si="153"/>
        <v>1.0078566428571432</v>
      </c>
      <c r="S148" s="25">
        <f t="shared" si="150"/>
        <v>69.535833416666662</v>
      </c>
      <c r="T148" s="20">
        <v>69.598352790051067</v>
      </c>
      <c r="U148" s="20">
        <v>-0.26100396554208771</v>
      </c>
      <c r="V148" s="20">
        <v>1.7763696019342329E-2</v>
      </c>
      <c r="W148" s="20">
        <v>-0.27876766156143007</v>
      </c>
    </row>
    <row r="149" spans="1:23" x14ac:dyDescent="0.35">
      <c r="A149" s="26">
        <v>42923</v>
      </c>
      <c r="B149" s="25">
        <v>68.699996999999996</v>
      </c>
      <c r="C149" s="25">
        <v>69.839995999999999</v>
      </c>
      <c r="D149" s="25">
        <v>68.699996999999996</v>
      </c>
      <c r="E149" s="25">
        <v>69.459998999999996</v>
      </c>
      <c r="F149" s="25">
        <v>16878300</v>
      </c>
      <c r="G149" s="25">
        <v>68.746634999999998</v>
      </c>
      <c r="H149" s="19">
        <f t="shared" si="136"/>
        <v>1.2895917744229012E-2</v>
      </c>
      <c r="I149" s="27">
        <f t="shared" si="155"/>
        <v>0.19601548967671298</v>
      </c>
      <c r="J149" s="25">
        <f t="shared" si="137"/>
        <v>0.88999900000000309</v>
      </c>
      <c r="K149" s="25">
        <f t="shared" si="138"/>
        <v>0.88999900000000309</v>
      </c>
      <c r="L149" s="25">
        <f t="shared" si="139"/>
        <v>0</v>
      </c>
      <c r="M149" s="25">
        <f t="shared" ref="M149:N149" si="162">AVERAGE(K136:K149)</f>
        <v>0.35785728571428571</v>
      </c>
      <c r="N149" s="25">
        <f t="shared" si="162"/>
        <v>0.39642878571428597</v>
      </c>
      <c r="O149" s="25">
        <f t="shared" si="157"/>
        <v>0.9027025751157246</v>
      </c>
      <c r="P149" s="25">
        <f t="shared" si="158"/>
        <v>47.44317829394965</v>
      </c>
      <c r="Q149" s="25">
        <f t="shared" si="135"/>
        <v>1.1399990000000031</v>
      </c>
      <c r="R149" s="25">
        <f t="shared" si="153"/>
        <v>1.0314281428571428</v>
      </c>
      <c r="S149" s="25">
        <f t="shared" si="150"/>
        <v>69.498332999999988</v>
      </c>
      <c r="T149" s="20">
        <v>69.588104361158386</v>
      </c>
      <c r="U149" s="20">
        <v>-0.23188627888156077</v>
      </c>
      <c r="V149" s="20">
        <v>-3.2166298960838294E-2</v>
      </c>
      <c r="W149" s="20">
        <v>-0.19971997992072249</v>
      </c>
    </row>
    <row r="150" spans="1:23" x14ac:dyDescent="0.35">
      <c r="A150" s="26">
        <v>42926</v>
      </c>
      <c r="B150" s="25">
        <v>69.459998999999996</v>
      </c>
      <c r="C150" s="25">
        <v>70.25</v>
      </c>
      <c r="D150" s="25">
        <v>69.199996999999996</v>
      </c>
      <c r="E150" s="25">
        <v>69.980002999999996</v>
      </c>
      <c r="F150" s="25">
        <v>15014500</v>
      </c>
      <c r="G150" s="25">
        <v>69.261298999999994</v>
      </c>
      <c r="H150" s="19">
        <f t="shared" si="136"/>
        <v>7.4585043185085714E-3</v>
      </c>
      <c r="I150" s="27">
        <f t="shared" si="155"/>
        <v>0.19080047463782662</v>
      </c>
      <c r="J150" s="25">
        <f t="shared" si="137"/>
        <v>0.52000400000000013</v>
      </c>
      <c r="K150" s="25">
        <f t="shared" si="138"/>
        <v>0.52000400000000013</v>
      </c>
      <c r="L150" s="25">
        <f t="shared" si="139"/>
        <v>0</v>
      </c>
      <c r="M150" s="25">
        <f t="shared" ref="M150:N150" si="163">AVERAGE(K137:K150)</f>
        <v>0.33285735714285736</v>
      </c>
      <c r="N150" s="25">
        <f t="shared" si="163"/>
        <v>0.39642878571428597</v>
      </c>
      <c r="O150" s="25">
        <f t="shared" si="157"/>
        <v>0.8396397263208687</v>
      </c>
      <c r="P150" s="25">
        <f t="shared" si="158"/>
        <v>45.641530475104524</v>
      </c>
      <c r="Q150" s="25">
        <f t="shared" si="135"/>
        <v>1.0500030000000038</v>
      </c>
      <c r="R150" s="25">
        <f t="shared" si="153"/>
        <v>1.064285214285714</v>
      </c>
      <c r="S150" s="25">
        <f t="shared" si="150"/>
        <v>69.474166833333342</v>
      </c>
      <c r="T150" s="20">
        <v>69.617133889961465</v>
      </c>
      <c r="U150" s="20">
        <v>-0.16494889726568829</v>
      </c>
      <c r="V150" s="20">
        <v>-5.8722818621808295E-2</v>
      </c>
      <c r="W150" s="20">
        <v>-0.10622607864387999</v>
      </c>
    </row>
    <row r="151" spans="1:23" x14ac:dyDescent="0.35">
      <c r="A151" s="26">
        <v>42927</v>
      </c>
      <c r="B151" s="25">
        <v>70</v>
      </c>
      <c r="C151" s="25">
        <v>70.680000000000007</v>
      </c>
      <c r="D151" s="25">
        <v>69.75</v>
      </c>
      <c r="E151" s="25">
        <v>69.989998</v>
      </c>
      <c r="F151" s="25">
        <v>17460000</v>
      </c>
      <c r="G151" s="25">
        <v>69.271193999999994</v>
      </c>
      <c r="H151" s="19">
        <f t="shared" si="136"/>
        <v>1.4285457227465056E-4</v>
      </c>
      <c r="I151" s="27">
        <f t="shared" si="155"/>
        <v>0.18171097655691987</v>
      </c>
      <c r="J151" s="25">
        <f t="shared" si="137"/>
        <v>9.9950000000035288E-3</v>
      </c>
      <c r="K151" s="25">
        <f t="shared" si="138"/>
        <v>9.9950000000035288E-3</v>
      </c>
      <c r="L151" s="25">
        <f t="shared" si="139"/>
        <v>0</v>
      </c>
      <c r="M151" s="25">
        <f t="shared" ref="M151:N151" si="164">AVERAGE(K138:K151)</f>
        <v>0.33357128571428618</v>
      </c>
      <c r="N151" s="25">
        <f t="shared" si="164"/>
        <v>0.32785742857142913</v>
      </c>
      <c r="O151" s="25">
        <f t="shared" si="157"/>
        <v>1.0174278715225518</v>
      </c>
      <c r="P151" s="25">
        <f t="shared" si="158"/>
        <v>50.431932952066305</v>
      </c>
      <c r="Q151" s="25">
        <f t="shared" si="135"/>
        <v>0.93000000000000682</v>
      </c>
      <c r="R151" s="25">
        <f t="shared" si="153"/>
        <v>1.0592852142857143</v>
      </c>
      <c r="S151" s="25">
        <f t="shared" si="150"/>
        <v>69.451666500000002</v>
      </c>
      <c r="T151" s="20">
        <v>69.644753453668017</v>
      </c>
      <c r="U151" s="20">
        <v>-0.10982799831005252</v>
      </c>
      <c r="V151" s="20">
        <v>-6.8943854559457146E-2</v>
      </c>
      <c r="W151" s="20">
        <v>-4.0884143750595375E-2</v>
      </c>
    </row>
    <row r="152" spans="1:23" x14ac:dyDescent="0.35">
      <c r="A152" s="26">
        <v>42928</v>
      </c>
      <c r="B152" s="25">
        <v>70.690002000000007</v>
      </c>
      <c r="C152" s="25">
        <v>71.279999000000004</v>
      </c>
      <c r="D152" s="25">
        <v>70.550003000000004</v>
      </c>
      <c r="E152" s="25">
        <v>71.150002000000001</v>
      </c>
      <c r="F152" s="25">
        <v>17750900</v>
      </c>
      <c r="G152" s="25">
        <v>70.419280999999998</v>
      </c>
      <c r="H152" s="19">
        <f t="shared" si="136"/>
        <v>1.6437954722165703E-2</v>
      </c>
      <c r="I152" s="27">
        <f t="shared" si="155"/>
        <v>0.19373361530140146</v>
      </c>
      <c r="J152" s="25">
        <f t="shared" si="137"/>
        <v>1.1600040000000007</v>
      </c>
      <c r="K152" s="25">
        <f t="shared" si="138"/>
        <v>1.1600040000000007</v>
      </c>
      <c r="L152" s="25">
        <f t="shared" si="139"/>
        <v>0</v>
      </c>
      <c r="M152" s="25">
        <f t="shared" ref="M152:N152" si="165">AVERAGE(K139:K152)</f>
        <v>0.39071492857142892</v>
      </c>
      <c r="N152" s="25">
        <f t="shared" si="165"/>
        <v>0.32785742857142913</v>
      </c>
      <c r="O152" s="25">
        <f t="shared" si="157"/>
        <v>1.1917220551441776</v>
      </c>
      <c r="P152" s="25">
        <f t="shared" si="158"/>
        <v>54.37377665416534</v>
      </c>
      <c r="Q152" s="25">
        <f t="shared" si="135"/>
        <v>0.72999599999999987</v>
      </c>
      <c r="R152" s="25">
        <f t="shared" si="153"/>
        <v>1.0628562857142865</v>
      </c>
      <c r="S152" s="25">
        <f t="shared" si="150"/>
        <v>69.446666750000006</v>
      </c>
      <c r="T152" s="20">
        <v>69.75625334598891</v>
      </c>
      <c r="U152" s="20">
        <v>2.7145423929368917E-2</v>
      </c>
      <c r="V152" s="20">
        <v>-4.9725998861691934E-2</v>
      </c>
      <c r="W152" s="20">
        <v>7.6871422791060851E-2</v>
      </c>
    </row>
    <row r="153" spans="1:23" x14ac:dyDescent="0.35">
      <c r="A153" s="26">
        <v>42929</v>
      </c>
      <c r="B153" s="25">
        <v>71.5</v>
      </c>
      <c r="C153" s="25">
        <v>72.040001000000004</v>
      </c>
      <c r="D153" s="25">
        <v>71.309997999999993</v>
      </c>
      <c r="E153" s="25">
        <v>71.769997000000004</v>
      </c>
      <c r="F153" s="25">
        <v>20269800</v>
      </c>
      <c r="G153" s="25">
        <v>71.032905999999997</v>
      </c>
      <c r="H153" s="19">
        <f t="shared" si="136"/>
        <v>8.6761309561986851E-3</v>
      </c>
      <c r="I153" s="27">
        <f t="shared" si="155"/>
        <v>0.19641770435270398</v>
      </c>
      <c r="J153" s="25">
        <f t="shared" si="137"/>
        <v>0.61999500000000296</v>
      </c>
      <c r="K153" s="25">
        <f t="shared" si="138"/>
        <v>0.61999500000000296</v>
      </c>
      <c r="L153" s="25">
        <f t="shared" si="139"/>
        <v>0</v>
      </c>
      <c r="M153" s="25">
        <f t="shared" ref="M153:N153" si="166">AVERAGE(K140:K153)</f>
        <v>0.43500028571428623</v>
      </c>
      <c r="N153" s="25">
        <f t="shared" si="166"/>
        <v>0.32714350000000031</v>
      </c>
      <c r="O153" s="25">
        <f t="shared" si="157"/>
        <v>1.329692583573526</v>
      </c>
      <c r="P153" s="25">
        <f t="shared" si="158"/>
        <v>57.075881725729865</v>
      </c>
      <c r="Q153" s="25">
        <f t="shared" si="135"/>
        <v>0.73000300000001062</v>
      </c>
      <c r="R153" s="25">
        <f t="shared" si="153"/>
        <v>1.05214242857143</v>
      </c>
      <c r="S153" s="25">
        <f t="shared" si="150"/>
        <v>69.549999916666664</v>
      </c>
      <c r="T153" s="20">
        <v>69.905419542582322</v>
      </c>
      <c r="U153" s="20">
        <v>0.18360972427160505</v>
      </c>
      <c r="V153" s="20">
        <v>-3.0588542350325418E-3</v>
      </c>
      <c r="W153" s="20">
        <v>0.18666857850663759</v>
      </c>
    </row>
    <row r="154" spans="1:23" x14ac:dyDescent="0.35">
      <c r="A154" s="26">
        <v>42930</v>
      </c>
      <c r="B154" s="25">
        <v>72.239998</v>
      </c>
      <c r="C154" s="25">
        <v>73.269997000000004</v>
      </c>
      <c r="D154" s="25">
        <v>71.959998999999996</v>
      </c>
      <c r="E154" s="25">
        <v>72.779999000000004</v>
      </c>
      <c r="F154" s="25">
        <v>25868100</v>
      </c>
      <c r="G154" s="25">
        <v>72.032539</v>
      </c>
      <c r="H154" s="19">
        <f t="shared" si="136"/>
        <v>1.3974713018339448E-2</v>
      </c>
      <c r="I154" s="27">
        <f t="shared" si="155"/>
        <v>0.19706989587250198</v>
      </c>
      <c r="J154" s="25">
        <f t="shared" si="137"/>
        <v>1.0100020000000001</v>
      </c>
      <c r="K154" s="25">
        <f t="shared" si="138"/>
        <v>1.0100020000000001</v>
      </c>
      <c r="L154" s="25">
        <f t="shared" si="139"/>
        <v>0</v>
      </c>
      <c r="M154" s="25">
        <f t="shared" ref="M154:N154" si="167">AVERAGE(K141:K154)</f>
        <v>0.43928635714285796</v>
      </c>
      <c r="N154" s="25">
        <f t="shared" si="167"/>
        <v>0.32714350000000031</v>
      </c>
      <c r="O154" s="25">
        <f t="shared" si="157"/>
        <v>1.3427940862124956</v>
      </c>
      <c r="P154" s="25">
        <f t="shared" si="158"/>
        <v>57.315924353528594</v>
      </c>
      <c r="Q154" s="25">
        <f t="shared" si="135"/>
        <v>1.3099980000000073</v>
      </c>
      <c r="R154" s="25">
        <f t="shared" si="153"/>
        <v>1.0507135714285738</v>
      </c>
      <c r="S154" s="25">
        <f t="shared" si="150"/>
        <v>69.847499916666663</v>
      </c>
      <c r="T154" s="20">
        <v>70.11835135424289</v>
      </c>
      <c r="U154" s="20">
        <v>0.38467325617196479</v>
      </c>
      <c r="V154" s="20">
        <v>7.4487567846366939E-2</v>
      </c>
      <c r="W154" s="20">
        <v>0.31018568832559784</v>
      </c>
    </row>
    <row r="155" spans="1:23" x14ac:dyDescent="0.35">
      <c r="A155" s="26">
        <v>42933</v>
      </c>
      <c r="B155" s="25">
        <v>72.800003000000004</v>
      </c>
      <c r="C155" s="25">
        <v>73.449996999999996</v>
      </c>
      <c r="D155" s="25">
        <v>72.720000999999996</v>
      </c>
      <c r="E155" s="25">
        <v>73.349997999999999</v>
      </c>
      <c r="F155" s="25">
        <v>21803900</v>
      </c>
      <c r="G155" s="25">
        <v>72.596687000000003</v>
      </c>
      <c r="H155" s="19">
        <f t="shared" si="136"/>
        <v>7.8013396989356724E-3</v>
      </c>
      <c r="I155" s="27">
        <f t="shared" si="155"/>
        <v>0.19173430665630431</v>
      </c>
      <c r="J155" s="25">
        <f t="shared" si="137"/>
        <v>0.5699989999999957</v>
      </c>
      <c r="K155" s="25">
        <f t="shared" si="138"/>
        <v>0.5699989999999957</v>
      </c>
      <c r="L155" s="25">
        <f t="shared" si="139"/>
        <v>0</v>
      </c>
      <c r="M155" s="25">
        <f t="shared" ref="M155:N155" si="168">AVERAGE(K142:K155)</f>
        <v>0.48000057142857194</v>
      </c>
      <c r="N155" s="25">
        <f t="shared" si="168"/>
        <v>0.27857207142857227</v>
      </c>
      <c r="O155" s="25">
        <f t="shared" si="157"/>
        <v>1.7230749980320526</v>
      </c>
      <c r="P155" s="25">
        <f t="shared" si="158"/>
        <v>63.27681019719644</v>
      </c>
      <c r="Q155" s="25">
        <f t="shared" si="135"/>
        <v>0.72999599999999987</v>
      </c>
      <c r="R155" s="25">
        <f t="shared" si="153"/>
        <v>1.0121420714285745</v>
      </c>
      <c r="S155" s="25">
        <f t="shared" si="150"/>
        <v>70.143332833333332</v>
      </c>
      <c r="T155" s="20">
        <v>70.357732587261935</v>
      </c>
      <c r="U155" s="20">
        <v>0.58328792924294248</v>
      </c>
      <c r="V155" s="20">
        <v>0.17624764012568206</v>
      </c>
      <c r="W155" s="20">
        <v>0.40704028911726042</v>
      </c>
    </row>
    <row r="156" spans="1:23" x14ac:dyDescent="0.35">
      <c r="A156" s="26">
        <v>42934</v>
      </c>
      <c r="B156" s="25">
        <v>73.089995999999999</v>
      </c>
      <c r="C156" s="25">
        <v>73.389999000000003</v>
      </c>
      <c r="D156" s="25">
        <v>72.660004000000001</v>
      </c>
      <c r="E156" s="25">
        <v>73.300003000000004</v>
      </c>
      <c r="F156" s="25">
        <v>26435300</v>
      </c>
      <c r="G156" s="25">
        <v>72.547195000000002</v>
      </c>
      <c r="H156" s="19">
        <f t="shared" si="136"/>
        <v>-6.8197158896671304E-4</v>
      </c>
      <c r="I156" s="27">
        <f t="shared" si="155"/>
        <v>0.16557662500695719</v>
      </c>
      <c r="J156" s="25">
        <f t="shared" si="137"/>
        <v>-4.9994999999995571E-2</v>
      </c>
      <c r="K156" s="25">
        <f t="shared" si="138"/>
        <v>0</v>
      </c>
      <c r="L156" s="25">
        <f t="shared" si="139"/>
        <v>4.9994999999995571E-2</v>
      </c>
      <c r="M156" s="25">
        <f t="shared" ref="M156:N156" si="169">AVERAGE(K143:K156)</f>
        <v>0.48000057142857194</v>
      </c>
      <c r="N156" s="25">
        <f t="shared" si="169"/>
        <v>0.18785742857142854</v>
      </c>
      <c r="O156" s="25">
        <f t="shared" si="157"/>
        <v>2.5551322355403294</v>
      </c>
      <c r="P156" s="25">
        <f t="shared" si="158"/>
        <v>71.871651073816821</v>
      </c>
      <c r="Q156" s="25">
        <f t="shared" si="135"/>
        <v>0.72999500000000239</v>
      </c>
      <c r="R156" s="25">
        <f t="shared" si="153"/>
        <v>0.99285600000000329</v>
      </c>
      <c r="S156" s="25">
        <f t="shared" si="150"/>
        <v>70.544166583333336</v>
      </c>
      <c r="T156" s="20">
        <v>70.575678543761057</v>
      </c>
      <c r="U156" s="20">
        <v>0.72826235481998935</v>
      </c>
      <c r="V156" s="20">
        <v>0.28665058306454355</v>
      </c>
      <c r="W156" s="20">
        <v>0.4416117717554458</v>
      </c>
    </row>
    <row r="157" spans="1:23" x14ac:dyDescent="0.35">
      <c r="A157" s="26">
        <v>42935</v>
      </c>
      <c r="B157" s="25">
        <v>73.5</v>
      </c>
      <c r="C157" s="25">
        <v>74.040001000000004</v>
      </c>
      <c r="D157" s="25">
        <v>73.449996999999996</v>
      </c>
      <c r="E157" s="25">
        <v>73.860000999999997</v>
      </c>
      <c r="F157" s="25">
        <v>22416200</v>
      </c>
      <c r="G157" s="25">
        <v>73.101439999999997</v>
      </c>
      <c r="H157" s="19">
        <f t="shared" si="136"/>
        <v>7.6107500123932248E-3</v>
      </c>
      <c r="I157" s="27">
        <f t="shared" si="155"/>
        <v>0.16516702251065132</v>
      </c>
      <c r="J157" s="25">
        <f t="shared" si="137"/>
        <v>0.55999799999999311</v>
      </c>
      <c r="K157" s="25">
        <f t="shared" si="138"/>
        <v>0.55999799999999311</v>
      </c>
      <c r="L157" s="25">
        <f t="shared" si="139"/>
        <v>0</v>
      </c>
      <c r="M157" s="25">
        <f t="shared" ref="M157:N157" si="170">AVERAGE(K144:K157)</f>
        <v>0.47785728571428521</v>
      </c>
      <c r="N157" s="25">
        <f t="shared" si="170"/>
        <v>0.18785742857142854</v>
      </c>
      <c r="O157" s="25">
        <f t="shared" si="157"/>
        <v>2.5437231274172944</v>
      </c>
      <c r="P157" s="25">
        <f t="shared" si="158"/>
        <v>71.781091128052907</v>
      </c>
      <c r="Q157" s="25">
        <f t="shared" si="135"/>
        <v>0.59000400000000752</v>
      </c>
      <c r="R157" s="25">
        <f t="shared" si="153"/>
        <v>0.95999950000000411</v>
      </c>
      <c r="S157" s="25">
        <f t="shared" si="150"/>
        <v>70.954999999999998</v>
      </c>
      <c r="T157" s="20">
        <v>70.818961688667642</v>
      </c>
      <c r="U157" s="20">
        <v>0.87821922551631815</v>
      </c>
      <c r="V157" s="20">
        <v>0.40496431155489848</v>
      </c>
      <c r="W157" s="20">
        <v>0.47325491396141967</v>
      </c>
    </row>
    <row r="158" spans="1:23" x14ac:dyDescent="0.35">
      <c r="A158" s="26">
        <v>42936</v>
      </c>
      <c r="B158" s="25">
        <v>74.180000000000007</v>
      </c>
      <c r="C158" s="25">
        <v>74.300003000000004</v>
      </c>
      <c r="D158" s="25">
        <v>73.279999000000004</v>
      </c>
      <c r="E158" s="25">
        <v>74.220000999999996</v>
      </c>
      <c r="F158" s="25">
        <v>42361000</v>
      </c>
      <c r="G158" s="25">
        <v>73.457747999999995</v>
      </c>
      <c r="H158" s="19">
        <f t="shared" si="136"/>
        <v>4.8623181780996306E-3</v>
      </c>
      <c r="I158" s="27">
        <f t="shared" si="155"/>
        <v>0.12754472832436989</v>
      </c>
      <c r="J158" s="25">
        <f t="shared" si="137"/>
        <v>0.35999999999999943</v>
      </c>
      <c r="K158" s="25">
        <f t="shared" si="138"/>
        <v>0.35999999999999943</v>
      </c>
      <c r="L158" s="25">
        <f t="shared" si="139"/>
        <v>0</v>
      </c>
      <c r="M158" s="25">
        <f t="shared" ref="M158:N158" si="171">AVERAGE(K145:K158)</f>
        <v>0.5035715714285709</v>
      </c>
      <c r="N158" s="25">
        <f t="shared" si="171"/>
        <v>9.4285642857142554E-2</v>
      </c>
      <c r="O158" s="25">
        <f t="shared" si="157"/>
        <v>5.340914652208081</v>
      </c>
      <c r="P158" s="25">
        <f t="shared" si="158"/>
        <v>84.229404512615972</v>
      </c>
      <c r="Q158" s="25">
        <f t="shared" si="135"/>
        <v>1.0200040000000001</v>
      </c>
      <c r="R158" s="25">
        <f t="shared" si="153"/>
        <v>0.93285678571428987</v>
      </c>
      <c r="S158" s="25">
        <f t="shared" si="150"/>
        <v>71.459166916666661</v>
      </c>
      <c r="T158" s="20">
        <v>71.070890526544119</v>
      </c>
      <c r="U158" s="20">
        <v>1.0144165546884665</v>
      </c>
      <c r="V158" s="20">
        <v>0.52685476018161204</v>
      </c>
      <c r="W158" s="20">
        <v>0.48756179450685444</v>
      </c>
    </row>
    <row r="159" spans="1:23" x14ac:dyDescent="0.35">
      <c r="A159" s="26">
        <v>42937</v>
      </c>
      <c r="B159" s="25">
        <v>73.449996999999996</v>
      </c>
      <c r="C159" s="25">
        <v>74.290001000000004</v>
      </c>
      <c r="D159" s="25">
        <v>73.169998000000007</v>
      </c>
      <c r="E159" s="25">
        <v>73.790001000000004</v>
      </c>
      <c r="F159" s="25">
        <v>46717100</v>
      </c>
      <c r="G159" s="25">
        <v>73.032166000000004</v>
      </c>
      <c r="H159" s="19">
        <f t="shared" si="136"/>
        <v>-5.810409545790418E-3</v>
      </c>
      <c r="I159" s="27">
        <f t="shared" si="155"/>
        <v>0.13652185728270458</v>
      </c>
      <c r="J159" s="25">
        <f t="shared" si="137"/>
        <v>-0.42999999999999261</v>
      </c>
      <c r="K159" s="25">
        <f t="shared" si="138"/>
        <v>0</v>
      </c>
      <c r="L159" s="25">
        <f t="shared" si="139"/>
        <v>0.42999999999999261</v>
      </c>
      <c r="M159" s="25">
        <f t="shared" ref="M159:N159" si="172">AVERAGE(K146:K159)</f>
        <v>0.47214285714285609</v>
      </c>
      <c r="N159" s="25">
        <f t="shared" si="172"/>
        <v>0.12499992857142773</v>
      </c>
      <c r="O159" s="25">
        <f t="shared" si="157"/>
        <v>3.7771450155114543</v>
      </c>
      <c r="P159" s="25">
        <f t="shared" si="158"/>
        <v>79.066995103707626</v>
      </c>
      <c r="Q159" s="25">
        <f t="shared" si="135"/>
        <v>1.120002999999997</v>
      </c>
      <c r="R159" s="25">
        <f t="shared" si="153"/>
        <v>0.96714278571428935</v>
      </c>
      <c r="S159" s="25">
        <f t="shared" si="150"/>
        <v>71.85166683333334</v>
      </c>
      <c r="T159" s="20">
        <v>71.272306117170473</v>
      </c>
      <c r="U159" s="20">
        <v>1.0752615669494077</v>
      </c>
      <c r="V159" s="20">
        <v>0.63653612153517114</v>
      </c>
      <c r="W159" s="20">
        <v>0.43872544541423653</v>
      </c>
    </row>
    <row r="160" spans="1:23" x14ac:dyDescent="0.35">
      <c r="A160" s="26">
        <v>42940</v>
      </c>
      <c r="B160" s="25">
        <v>73.529999000000004</v>
      </c>
      <c r="C160" s="25">
        <v>73.75</v>
      </c>
      <c r="D160" s="25">
        <v>73.129997000000003</v>
      </c>
      <c r="E160" s="25">
        <v>73.599997999999999</v>
      </c>
      <c r="F160" s="25">
        <v>21394800</v>
      </c>
      <c r="G160" s="25">
        <v>72.844116</v>
      </c>
      <c r="H160" s="19">
        <f t="shared" si="136"/>
        <v>-2.5782135599935778E-3</v>
      </c>
      <c r="I160" s="27">
        <f t="shared" si="155"/>
        <v>0.12115567549935111</v>
      </c>
      <c r="J160" s="25">
        <f t="shared" si="137"/>
        <v>-0.19000300000000436</v>
      </c>
      <c r="K160" s="25">
        <f t="shared" si="138"/>
        <v>0</v>
      </c>
      <c r="L160" s="25">
        <f t="shared" si="139"/>
        <v>0.19000300000000436</v>
      </c>
      <c r="M160" s="25">
        <f t="shared" ref="M160:N160" si="173">AVERAGE(K147:K160)</f>
        <v>0.47214285714285609</v>
      </c>
      <c r="N160" s="25">
        <f t="shared" si="173"/>
        <v>8.4285714285713756E-2</v>
      </c>
      <c r="O160" s="25">
        <f t="shared" si="157"/>
        <v>5.6016949152542601</v>
      </c>
      <c r="P160" s="25">
        <f t="shared" si="158"/>
        <v>84.852374839537916</v>
      </c>
      <c r="Q160" s="25">
        <f t="shared" si="135"/>
        <v>0.62000299999999697</v>
      </c>
      <c r="R160" s="25">
        <f t="shared" si="153"/>
        <v>0.89857150000000374</v>
      </c>
      <c r="S160" s="25">
        <f t="shared" si="150"/>
        <v>72.270833333333343</v>
      </c>
      <c r="T160" s="20">
        <v>71.444727738120818</v>
      </c>
      <c r="U160" s="20">
        <v>1.0955215330575498</v>
      </c>
      <c r="V160" s="20">
        <v>0.72833320383964684</v>
      </c>
      <c r="W160" s="20">
        <v>0.36718832921790301</v>
      </c>
    </row>
    <row r="161" spans="1:23" x14ac:dyDescent="0.35">
      <c r="A161" s="26">
        <v>42941</v>
      </c>
      <c r="B161" s="25">
        <v>73.800003000000004</v>
      </c>
      <c r="C161" s="25">
        <v>74.309997999999993</v>
      </c>
      <c r="D161" s="25">
        <v>73.5</v>
      </c>
      <c r="E161" s="25">
        <v>74.190002000000007</v>
      </c>
      <c r="F161" s="25">
        <v>22018700</v>
      </c>
      <c r="G161" s="25">
        <v>73.428055000000001</v>
      </c>
      <c r="H161" s="19">
        <f t="shared" si="136"/>
        <v>7.9843226247572289E-3</v>
      </c>
      <c r="I161" s="27">
        <f t="shared" si="155"/>
        <v>0.11656324521869932</v>
      </c>
      <c r="J161" s="25">
        <f t="shared" si="137"/>
        <v>0.59000400000000752</v>
      </c>
      <c r="K161" s="25">
        <f t="shared" si="138"/>
        <v>0.59000400000000752</v>
      </c>
      <c r="L161" s="25">
        <f t="shared" si="139"/>
        <v>0</v>
      </c>
      <c r="M161" s="25">
        <f t="shared" ref="M161:N161" si="174">AVERAGE(K148:K161)</f>
        <v>0.44928571428571473</v>
      </c>
      <c r="N161" s="25">
        <f t="shared" si="174"/>
        <v>8.4285714285713756E-2</v>
      </c>
      <c r="O161" s="25">
        <f t="shared" si="157"/>
        <v>5.3305084745763098</v>
      </c>
      <c r="P161" s="25">
        <f t="shared" si="158"/>
        <v>84.20348058902286</v>
      </c>
      <c r="Q161" s="25">
        <f t="shared" si="135"/>
        <v>0.80999799999999311</v>
      </c>
      <c r="R161" s="25">
        <f t="shared" si="153"/>
        <v>0.86928557142857399</v>
      </c>
      <c r="S161" s="25">
        <f t="shared" si="150"/>
        <v>72.665000250000006</v>
      </c>
      <c r="T161" s="20">
        <v>71.648081387148906</v>
      </c>
      <c r="U161" s="20">
        <v>1.1459759961558689</v>
      </c>
      <c r="V161" s="20">
        <v>0.81186176230289131</v>
      </c>
      <c r="W161" s="20">
        <v>0.33411423385297756</v>
      </c>
    </row>
    <row r="162" spans="1:23" x14ac:dyDescent="0.35">
      <c r="A162" s="26">
        <v>42942</v>
      </c>
      <c r="B162" s="25">
        <v>74.339995999999999</v>
      </c>
      <c r="C162" s="25">
        <v>74.379997000000003</v>
      </c>
      <c r="D162" s="25">
        <v>73.809997999999993</v>
      </c>
      <c r="E162" s="25">
        <v>74.050003000000004</v>
      </c>
      <c r="F162" s="25">
        <v>16252200</v>
      </c>
      <c r="G162" s="25">
        <v>73.289496999999997</v>
      </c>
      <c r="H162" s="19">
        <f t="shared" si="136"/>
        <v>-1.8887725333871343E-3</v>
      </c>
      <c r="I162" s="27">
        <f t="shared" si="155"/>
        <v>0.10704359491633612</v>
      </c>
      <c r="J162" s="25">
        <f t="shared" si="137"/>
        <v>-0.13999900000000309</v>
      </c>
      <c r="K162" s="25">
        <f t="shared" si="138"/>
        <v>0</v>
      </c>
      <c r="L162" s="25">
        <f t="shared" si="139"/>
        <v>0.13999900000000309</v>
      </c>
      <c r="M162" s="25">
        <f t="shared" ref="M162:N162" si="175">AVERAGE(K149:K162)</f>
        <v>0.44928571428571473</v>
      </c>
      <c r="N162" s="25">
        <f t="shared" si="175"/>
        <v>5.7856928571428261E-2</v>
      </c>
      <c r="O162" s="25">
        <f t="shared" si="157"/>
        <v>7.765460859731629</v>
      </c>
      <c r="P162" s="25">
        <f t="shared" si="158"/>
        <v>88.59158672883953</v>
      </c>
      <c r="Q162" s="25">
        <f t="shared" si="135"/>
        <v>0.56999900000000991</v>
      </c>
      <c r="R162" s="25">
        <f t="shared" si="153"/>
        <v>0.86285721428571704</v>
      </c>
      <c r="S162" s="25">
        <f t="shared" si="150"/>
        <v>73.004166916666676</v>
      </c>
      <c r="T162" s="20">
        <v>71.826001506619363</v>
      </c>
      <c r="U162" s="20">
        <v>1.1612782792539065</v>
      </c>
      <c r="V162" s="20">
        <v>0.88174506569309441</v>
      </c>
      <c r="W162" s="20">
        <v>0.27953321356081207</v>
      </c>
    </row>
    <row r="163" spans="1:23" x14ac:dyDescent="0.35">
      <c r="A163" s="26">
        <v>42943</v>
      </c>
      <c r="B163" s="25">
        <v>73.760002</v>
      </c>
      <c r="C163" s="25">
        <v>74.419998000000007</v>
      </c>
      <c r="D163" s="25">
        <v>72.319999999999993</v>
      </c>
      <c r="E163" s="25">
        <v>73.160004000000001</v>
      </c>
      <c r="F163" s="25">
        <v>36844200</v>
      </c>
      <c r="G163" s="25">
        <v>72.408637999999996</v>
      </c>
      <c r="H163" s="19">
        <f t="shared" si="136"/>
        <v>-1.2091709100666238E-2</v>
      </c>
      <c r="I163" s="27">
        <f t="shared" si="155"/>
        <v>0.12459722164568017</v>
      </c>
      <c r="J163" s="25">
        <f t="shared" si="137"/>
        <v>-0.88999900000000309</v>
      </c>
      <c r="K163" s="25">
        <f t="shared" si="138"/>
        <v>0</v>
      </c>
      <c r="L163" s="25">
        <f t="shared" si="139"/>
        <v>0.88999900000000309</v>
      </c>
      <c r="M163" s="25">
        <f t="shared" ref="M163:N163" si="176">AVERAGE(K150:K163)</f>
        <v>0.38571435714285734</v>
      </c>
      <c r="N163" s="25">
        <f t="shared" si="176"/>
        <v>0.12142828571428563</v>
      </c>
      <c r="O163" s="25">
        <f t="shared" si="157"/>
        <v>3.1764786505380052</v>
      </c>
      <c r="P163" s="25">
        <f t="shared" si="158"/>
        <v>76.05638424917646</v>
      </c>
      <c r="Q163" s="25">
        <f t="shared" si="135"/>
        <v>2.0999980000000136</v>
      </c>
      <c r="R163" s="25">
        <f t="shared" si="153"/>
        <v>0.93142857142857494</v>
      </c>
      <c r="S163" s="25">
        <f t="shared" si="150"/>
        <v>73.268334083333329</v>
      </c>
      <c r="T163" s="20">
        <v>71.924816506129034</v>
      </c>
      <c r="U163" s="20">
        <v>1.0890362357637287</v>
      </c>
      <c r="V163" s="20">
        <v>0.92320329970722126</v>
      </c>
      <c r="W163" s="20">
        <v>0.1658329360565074</v>
      </c>
    </row>
    <row r="164" spans="1:23" x14ac:dyDescent="0.35">
      <c r="A164" s="26">
        <v>42944</v>
      </c>
      <c r="B164" s="25">
        <v>72.669998000000007</v>
      </c>
      <c r="C164" s="25">
        <v>73.309997999999993</v>
      </c>
      <c r="D164" s="25">
        <v>72.540001000000004</v>
      </c>
      <c r="E164" s="25">
        <v>73.040001000000004</v>
      </c>
      <c r="F164" s="25">
        <v>18306700</v>
      </c>
      <c r="G164" s="25">
        <v>72.289871000000005</v>
      </c>
      <c r="H164" s="19">
        <f t="shared" si="136"/>
        <v>-1.6415791357037681E-3</v>
      </c>
      <c r="I164" s="27">
        <f t="shared" si="155"/>
        <v>0.12526582685148147</v>
      </c>
      <c r="J164" s="25">
        <f t="shared" si="137"/>
        <v>-0.12000299999999697</v>
      </c>
      <c r="K164" s="25">
        <f t="shared" si="138"/>
        <v>0</v>
      </c>
      <c r="L164" s="25">
        <f t="shared" si="139"/>
        <v>0.12000299999999697</v>
      </c>
      <c r="M164" s="25">
        <f t="shared" ref="M164:N164" si="177">AVERAGE(K151:K164)</f>
        <v>0.34857121428571453</v>
      </c>
      <c r="N164" s="25">
        <f t="shared" si="177"/>
        <v>0.12999992857142825</v>
      </c>
      <c r="O164" s="25">
        <f t="shared" si="157"/>
        <v>2.6813185062189677</v>
      </c>
      <c r="P164" s="25">
        <f t="shared" si="158"/>
        <v>72.835819603474448</v>
      </c>
      <c r="Q164" s="25">
        <f t="shared" si="135"/>
        <v>0.76999699999998938</v>
      </c>
      <c r="R164" s="25">
        <f t="shared" si="153"/>
        <v>0.91142814285714535</v>
      </c>
      <c r="S164" s="25">
        <f t="shared" si="150"/>
        <v>73.425834000000009</v>
      </c>
      <c r="T164" s="20">
        <v>72.00742276493429</v>
      </c>
      <c r="U164" s="20">
        <v>1.0104527858980532</v>
      </c>
      <c r="V164" s="20">
        <v>0.94065319694538774</v>
      </c>
      <c r="W164" s="20">
        <v>6.979958895266547E-2</v>
      </c>
    </row>
    <row r="165" spans="1:23" x14ac:dyDescent="0.35">
      <c r="A165" s="26">
        <v>42947</v>
      </c>
      <c r="B165" s="25">
        <v>73.300003000000004</v>
      </c>
      <c r="C165" s="25">
        <v>73.440002000000007</v>
      </c>
      <c r="D165" s="25">
        <v>72.410004000000001</v>
      </c>
      <c r="E165" s="25">
        <v>72.699996999999996</v>
      </c>
      <c r="F165" s="25">
        <v>23600100</v>
      </c>
      <c r="G165" s="25">
        <v>71.953354000000004</v>
      </c>
      <c r="H165" s="19">
        <f t="shared" si="136"/>
        <v>-4.6659745791829549E-3</v>
      </c>
      <c r="I165" s="27">
        <f t="shared" si="155"/>
        <v>0.12903901889456179</v>
      </c>
      <c r="J165" s="25">
        <f t="shared" si="137"/>
        <v>-0.34000400000000752</v>
      </c>
      <c r="K165" s="25">
        <f t="shared" si="138"/>
        <v>0</v>
      </c>
      <c r="L165" s="25">
        <f t="shared" si="139"/>
        <v>0.34000400000000752</v>
      </c>
      <c r="M165" s="25">
        <f t="shared" ref="M165:N165" si="178">AVERAGE(K152:K165)</f>
        <v>0.3478572857142857</v>
      </c>
      <c r="N165" s="25">
        <f t="shared" si="178"/>
        <v>0.15428592857142881</v>
      </c>
      <c r="O165" s="25">
        <f t="shared" si="157"/>
        <v>2.2546274241285742</v>
      </c>
      <c r="P165" s="25">
        <f t="shared" si="158"/>
        <v>69.274516874454534</v>
      </c>
      <c r="Q165" s="25">
        <f t="shared" si="135"/>
        <v>1.0299980000000062</v>
      </c>
      <c r="R165" s="25">
        <f t="shared" si="153"/>
        <v>0.91857085714285958</v>
      </c>
      <c r="S165" s="25">
        <f t="shared" si="150"/>
        <v>73.503333999999995</v>
      </c>
      <c r="T165" s="20">
        <v>72.058724560124347</v>
      </c>
      <c r="U165" s="20">
        <v>0.91024659827225207</v>
      </c>
      <c r="V165" s="20">
        <v>0.93457187721076074</v>
      </c>
      <c r="W165" s="20">
        <v>-2.4325278938508665E-2</v>
      </c>
    </row>
    <row r="166" spans="1:23" x14ac:dyDescent="0.35">
      <c r="A166" s="26">
        <v>42948</v>
      </c>
      <c r="B166" s="25">
        <v>73.099997999999999</v>
      </c>
      <c r="C166" s="25">
        <v>73.419998000000007</v>
      </c>
      <c r="D166" s="25">
        <v>72.489998</v>
      </c>
      <c r="E166" s="25">
        <v>72.580001999999993</v>
      </c>
      <c r="F166" s="25">
        <v>22132300</v>
      </c>
      <c r="G166" s="25">
        <v>71.834594999999993</v>
      </c>
      <c r="H166" s="19">
        <f t="shared" si="136"/>
        <v>-1.6518634256943343E-3</v>
      </c>
      <c r="I166" s="27">
        <f t="shared" si="155"/>
        <v>0.11364885281930122</v>
      </c>
      <c r="J166" s="25">
        <f t="shared" si="137"/>
        <v>-0.11999500000000296</v>
      </c>
      <c r="K166" s="25">
        <f t="shared" si="138"/>
        <v>0</v>
      </c>
      <c r="L166" s="25">
        <f t="shared" si="139"/>
        <v>0.11999500000000296</v>
      </c>
      <c r="M166" s="25">
        <f t="shared" ref="M166:N166" si="179">AVERAGE(K153:K166)</f>
        <v>0.26499985714285706</v>
      </c>
      <c r="N166" s="25">
        <f t="shared" si="179"/>
        <v>0.16285700000000045</v>
      </c>
      <c r="O166" s="25">
        <f t="shared" si="157"/>
        <v>1.6271935326259008</v>
      </c>
      <c r="P166" s="25">
        <f t="shared" si="158"/>
        <v>61.936568905889011</v>
      </c>
      <c r="Q166" s="25">
        <f t="shared" si="135"/>
        <v>0.93000000000000682</v>
      </c>
      <c r="R166" s="25">
        <f t="shared" si="153"/>
        <v>0.93285685714286004</v>
      </c>
      <c r="S166" s="25">
        <f t="shared" si="150"/>
        <v>73.486667583333329</v>
      </c>
      <c r="T166" s="20">
        <v>72.097337703818852</v>
      </c>
      <c r="U166" s="20">
        <v>0.81179204559364848</v>
      </c>
      <c r="V166" s="20">
        <v>0.91001591088733835</v>
      </c>
      <c r="W166" s="20">
        <v>-9.8223865293689872E-2</v>
      </c>
    </row>
    <row r="167" spans="1:23" x14ac:dyDescent="0.35">
      <c r="A167" s="26">
        <v>42949</v>
      </c>
      <c r="B167" s="25">
        <v>72.550003000000004</v>
      </c>
      <c r="C167" s="25">
        <v>72.559997999999993</v>
      </c>
      <c r="D167" s="25">
        <v>71.440002000000007</v>
      </c>
      <c r="E167" s="25">
        <v>72.260002</v>
      </c>
      <c r="F167" s="25">
        <v>26499200</v>
      </c>
      <c r="G167" s="25">
        <v>71.517882999999998</v>
      </c>
      <c r="H167" s="19">
        <f t="shared" si="136"/>
        <v>-4.4186542112453504E-3</v>
      </c>
      <c r="I167" s="27">
        <f t="shared" si="155"/>
        <v>0.11099333489840242</v>
      </c>
      <c r="J167" s="25">
        <f t="shared" si="137"/>
        <v>-0.31999999999999318</v>
      </c>
      <c r="K167" s="25">
        <f t="shared" si="138"/>
        <v>0</v>
      </c>
      <c r="L167" s="25">
        <f t="shared" si="139"/>
        <v>0.31999999999999318</v>
      </c>
      <c r="M167" s="25">
        <f t="shared" ref="M167:N167" si="180">AVERAGE(K154:K167)</f>
        <v>0.2207144999999997</v>
      </c>
      <c r="N167" s="25">
        <f t="shared" si="180"/>
        <v>0.1857141428571428</v>
      </c>
      <c r="O167" s="25">
        <f t="shared" si="157"/>
        <v>1.1884636065104652</v>
      </c>
      <c r="P167" s="25">
        <f t="shared" si="158"/>
        <v>54.305842828498598</v>
      </c>
      <c r="Q167" s="25">
        <f t="shared" si="135"/>
        <v>1.1199959999999862</v>
      </c>
      <c r="R167" s="25">
        <f t="shared" si="153"/>
        <v>0.96071350000000122</v>
      </c>
      <c r="S167" s="25">
        <f t="shared" si="150"/>
        <v>73.395834583333325</v>
      </c>
      <c r="T167" s="20">
        <v>72.109386910943385</v>
      </c>
      <c r="U167" s="20">
        <v>0.69987703086719932</v>
      </c>
      <c r="V167" s="20">
        <v>0.86798813488331061</v>
      </c>
      <c r="W167" s="20">
        <v>-0.16811110401611129</v>
      </c>
    </row>
    <row r="168" spans="1:23" x14ac:dyDescent="0.35">
      <c r="A168" s="26">
        <v>42950</v>
      </c>
      <c r="B168" s="25">
        <v>72.190002000000007</v>
      </c>
      <c r="C168" s="25">
        <v>72.440002000000007</v>
      </c>
      <c r="D168" s="25">
        <v>71.849997999999999</v>
      </c>
      <c r="E168" s="25">
        <v>72.150002000000001</v>
      </c>
      <c r="F168" s="25">
        <v>18214400</v>
      </c>
      <c r="G168" s="25">
        <v>71.409003999999996</v>
      </c>
      <c r="H168" s="19">
        <f t="shared" si="136"/>
        <v>-1.5235624779431915E-3</v>
      </c>
      <c r="I168" s="27">
        <f t="shared" si="155"/>
        <v>9.2402888283680512E-2</v>
      </c>
      <c r="J168" s="25">
        <f t="shared" si="137"/>
        <v>-0.10999999999999943</v>
      </c>
      <c r="K168" s="25">
        <f t="shared" si="138"/>
        <v>0</v>
      </c>
      <c r="L168" s="25">
        <f t="shared" si="139"/>
        <v>0.10999999999999943</v>
      </c>
      <c r="M168" s="25">
        <f t="shared" ref="M168:N168" si="181">AVERAGE(K155:K168)</f>
        <v>0.14857149999999969</v>
      </c>
      <c r="N168" s="25">
        <f t="shared" si="181"/>
        <v>0.19357128571428564</v>
      </c>
      <c r="O168" s="25">
        <f t="shared" si="157"/>
        <v>0.76752861072222067</v>
      </c>
      <c r="P168" s="25">
        <f t="shared" si="158"/>
        <v>43.4238295248078</v>
      </c>
      <c r="Q168" s="25">
        <f t="shared" si="135"/>
        <v>0.59000400000000752</v>
      </c>
      <c r="R168" s="25">
        <f t="shared" si="153"/>
        <v>0.9092853571428583</v>
      </c>
      <c r="S168" s="25">
        <f t="shared" si="150"/>
        <v>73.300001166666661</v>
      </c>
      <c r="T168" s="20">
        <v>72.112395436058691</v>
      </c>
      <c r="U168" s="20">
        <v>0.59544359162718763</v>
      </c>
      <c r="V168" s="20">
        <v>0.81347922623208613</v>
      </c>
      <c r="W168" s="20">
        <v>-0.2180356346048985</v>
      </c>
    </row>
    <row r="169" spans="1:23" x14ac:dyDescent="0.35">
      <c r="A169" s="26">
        <v>42951</v>
      </c>
      <c r="B169" s="25">
        <v>72.400002000000001</v>
      </c>
      <c r="C169" s="25">
        <v>73.040001000000004</v>
      </c>
      <c r="D169" s="25">
        <v>72.239998</v>
      </c>
      <c r="E169" s="25">
        <v>72.680000000000007</v>
      </c>
      <c r="F169" s="25">
        <v>22579000</v>
      </c>
      <c r="G169" s="25">
        <v>71.933563000000007</v>
      </c>
      <c r="H169" s="19">
        <f t="shared" si="136"/>
        <v>7.3189890845455083E-3</v>
      </c>
      <c r="I169" s="27">
        <f t="shared" si="155"/>
        <v>9.1569541359593373E-2</v>
      </c>
      <c r="J169" s="25">
        <f t="shared" si="137"/>
        <v>0.52999800000000619</v>
      </c>
      <c r="K169" s="25">
        <f t="shared" si="138"/>
        <v>0.52999800000000619</v>
      </c>
      <c r="L169" s="25">
        <f t="shared" si="139"/>
        <v>0</v>
      </c>
      <c r="M169" s="25">
        <f t="shared" ref="M169:N169" si="182">AVERAGE(K156:K169)</f>
        <v>0.14571428571428616</v>
      </c>
      <c r="N169" s="25">
        <f t="shared" si="182"/>
        <v>0.19357128571428564</v>
      </c>
      <c r="O169" s="25">
        <f t="shared" si="157"/>
        <v>0.75276808322368027</v>
      </c>
      <c r="P169" s="25">
        <f t="shared" si="158"/>
        <v>42.947386504162822</v>
      </c>
      <c r="Q169" s="25">
        <f t="shared" si="135"/>
        <v>0.80000300000000379</v>
      </c>
      <c r="R169" s="25">
        <f t="shared" si="153"/>
        <v>0.91428585714285859</v>
      </c>
      <c r="S169" s="25">
        <f t="shared" si="150"/>
        <v>73.201667750000013</v>
      </c>
      <c r="T169" s="20">
        <v>72.154440218572859</v>
      </c>
      <c r="U169" s="20">
        <v>0.54911588177672854</v>
      </c>
      <c r="V169" s="20">
        <v>0.76060655734101457</v>
      </c>
      <c r="W169" s="20">
        <v>-0.21149067556428602</v>
      </c>
    </row>
    <row r="170" spans="1:23" x14ac:dyDescent="0.35">
      <c r="A170" s="26">
        <v>42954</v>
      </c>
      <c r="B170" s="25">
        <v>72.800003000000004</v>
      </c>
      <c r="C170" s="25">
        <v>72.900002000000001</v>
      </c>
      <c r="D170" s="25">
        <v>72.260002</v>
      </c>
      <c r="E170" s="25">
        <v>72.400002000000001</v>
      </c>
      <c r="F170" s="25">
        <v>18705700</v>
      </c>
      <c r="G170" s="25">
        <v>71.656447999999997</v>
      </c>
      <c r="H170" s="19">
        <f t="shared" si="136"/>
        <v>-3.8598136752274492E-3</v>
      </c>
      <c r="I170" s="27">
        <f t="shared" si="155"/>
        <v>9.2574426329637596E-2</v>
      </c>
      <c r="J170" s="25">
        <f t="shared" si="137"/>
        <v>-0.27999800000000619</v>
      </c>
      <c r="K170" s="25">
        <f t="shared" si="138"/>
        <v>0</v>
      </c>
      <c r="L170" s="25">
        <f t="shared" si="139"/>
        <v>0.27999800000000619</v>
      </c>
      <c r="M170" s="25">
        <f t="shared" ref="M170:N170" si="183">AVERAGE(K157:K170)</f>
        <v>0.14571428571428616</v>
      </c>
      <c r="N170" s="25">
        <f t="shared" si="183"/>
        <v>0.2100000714285721</v>
      </c>
      <c r="O170" s="25">
        <f t="shared" si="157"/>
        <v>0.69387731500771588</v>
      </c>
      <c r="P170" s="25">
        <f t="shared" si="158"/>
        <v>40.963847196014619</v>
      </c>
      <c r="Q170" s="25">
        <f t="shared" si="135"/>
        <v>0.64000000000000057</v>
      </c>
      <c r="R170" s="25">
        <f t="shared" si="153"/>
        <v>0.90785764285714421</v>
      </c>
      <c r="S170" s="25">
        <f t="shared" si="150"/>
        <v>73.050001166666661</v>
      </c>
      <c r="T170" s="20">
        <v>72.172629980160053</v>
      </c>
      <c r="U170" s="20">
        <v>0.48422548936652277</v>
      </c>
      <c r="V170" s="20">
        <v>0.70533034374611625</v>
      </c>
      <c r="W170" s="20">
        <v>-0.22110485437959349</v>
      </c>
    </row>
    <row r="171" spans="1:23" x14ac:dyDescent="0.35">
      <c r="A171" s="26">
        <v>42955</v>
      </c>
      <c r="B171" s="25">
        <v>72.089995999999999</v>
      </c>
      <c r="C171" s="25">
        <v>73.129997000000003</v>
      </c>
      <c r="D171" s="25">
        <v>71.75</v>
      </c>
      <c r="E171" s="25">
        <v>72.790001000000004</v>
      </c>
      <c r="F171" s="25">
        <v>22044600</v>
      </c>
      <c r="G171" s="25">
        <v>72.042434999999998</v>
      </c>
      <c r="H171" s="19">
        <f t="shared" si="136"/>
        <v>5.3721771561373571E-3</v>
      </c>
      <c r="I171" s="27">
        <f t="shared" si="155"/>
        <v>8.9011916359083593E-2</v>
      </c>
      <c r="J171" s="25">
        <f t="shared" si="137"/>
        <v>0.38999900000000309</v>
      </c>
      <c r="K171" s="25">
        <f t="shared" si="138"/>
        <v>0.38999900000000309</v>
      </c>
      <c r="L171" s="25">
        <f t="shared" si="139"/>
        <v>0</v>
      </c>
      <c r="M171" s="25">
        <f t="shared" ref="M171:N171" si="184">AVERAGE(K158:K171)</f>
        <v>0.13357150000000115</v>
      </c>
      <c r="N171" s="25">
        <f t="shared" si="184"/>
        <v>0.2100000714285721</v>
      </c>
      <c r="O171" s="25">
        <f t="shared" si="157"/>
        <v>0.63605454555968177</v>
      </c>
      <c r="P171" s="25">
        <f t="shared" si="158"/>
        <v>38.8773435021442</v>
      </c>
      <c r="Q171" s="25">
        <f t="shared" si="135"/>
        <v>1.379997000000003</v>
      </c>
      <c r="R171" s="25">
        <f t="shared" si="153"/>
        <v>0.9642857142857153</v>
      </c>
      <c r="S171" s="25">
        <f t="shared" si="150"/>
        <v>72.966667833333318</v>
      </c>
      <c r="T171" s="20">
        <v>72.218361166814859</v>
      </c>
      <c r="U171" s="20">
        <v>0.45897823047685904</v>
      </c>
      <c r="V171" s="20">
        <v>0.65605992109226485</v>
      </c>
      <c r="W171" s="20">
        <v>-0.19708169061540581</v>
      </c>
    </row>
    <row r="172" spans="1:23" x14ac:dyDescent="0.35">
      <c r="A172" s="26">
        <v>42956</v>
      </c>
      <c r="B172" s="25">
        <v>72.25</v>
      </c>
      <c r="C172" s="25">
        <v>72.510002</v>
      </c>
      <c r="D172" s="25">
        <v>72.050003000000004</v>
      </c>
      <c r="E172" s="25">
        <v>72.470000999999996</v>
      </c>
      <c r="F172" s="25">
        <v>22213400</v>
      </c>
      <c r="G172" s="25">
        <v>71.725723000000002</v>
      </c>
      <c r="H172" s="19">
        <f t="shared" si="136"/>
        <v>-4.4058784188924548E-3</v>
      </c>
      <c r="I172" s="27">
        <f t="shared" si="155"/>
        <v>8.5718406712134904E-2</v>
      </c>
      <c r="J172" s="25">
        <f t="shared" si="137"/>
        <v>-0.32000000000000739</v>
      </c>
      <c r="K172" s="25">
        <f t="shared" si="138"/>
        <v>0</v>
      </c>
      <c r="L172" s="25">
        <f t="shared" si="139"/>
        <v>0.32000000000000739</v>
      </c>
      <c r="M172" s="25">
        <f t="shared" ref="M172:N172" si="185">AVERAGE(K159:K172)</f>
        <v>0.10785721428571549</v>
      </c>
      <c r="N172" s="25">
        <f t="shared" si="185"/>
        <v>0.23285721428571549</v>
      </c>
      <c r="O172" s="25">
        <f t="shared" si="157"/>
        <v>0.46319034871461973</v>
      </c>
      <c r="P172" s="25">
        <f t="shared" si="158"/>
        <v>31.656192177697335</v>
      </c>
      <c r="Q172" s="25">
        <f t="shared" si="135"/>
        <v>0.45999899999999627</v>
      </c>
      <c r="R172" s="25">
        <f t="shared" si="153"/>
        <v>0.92428535714285787</v>
      </c>
      <c r="S172" s="25">
        <f t="shared" si="150"/>
        <v>72.872501416666665</v>
      </c>
      <c r="T172" s="20">
        <v>72.237001154458198</v>
      </c>
      <c r="U172" s="20">
        <v>0.40844002786556644</v>
      </c>
      <c r="V172" s="20">
        <v>0.60653594244692521</v>
      </c>
      <c r="W172" s="20">
        <v>-0.19809591458135878</v>
      </c>
    </row>
    <row r="173" spans="1:23" x14ac:dyDescent="0.35">
      <c r="A173" s="26">
        <v>42957</v>
      </c>
      <c r="B173" s="25">
        <v>71.900002000000001</v>
      </c>
      <c r="C173" s="25">
        <v>72.190002000000007</v>
      </c>
      <c r="D173" s="25">
        <v>71.349997999999999</v>
      </c>
      <c r="E173" s="25">
        <v>71.410004000000001</v>
      </c>
      <c r="F173" s="25">
        <v>24734500</v>
      </c>
      <c r="G173" s="25">
        <v>70.676613000000003</v>
      </c>
      <c r="H173" s="19">
        <f t="shared" si="136"/>
        <v>-1.4734715884378712E-2</v>
      </c>
      <c r="I173" s="27">
        <f t="shared" si="155"/>
        <v>0.10100431649894621</v>
      </c>
      <c r="J173" s="25">
        <f t="shared" si="137"/>
        <v>-1.0599969999999956</v>
      </c>
      <c r="K173" s="25">
        <f t="shared" si="138"/>
        <v>0</v>
      </c>
      <c r="L173" s="25">
        <f t="shared" si="139"/>
        <v>1.0599969999999956</v>
      </c>
      <c r="M173" s="25">
        <f t="shared" ref="M173:N173" si="186">AVERAGE(K160:K173)</f>
        <v>0.10785721428571549</v>
      </c>
      <c r="N173" s="25">
        <f t="shared" si="186"/>
        <v>0.27785700000000141</v>
      </c>
      <c r="O173" s="25">
        <f t="shared" si="157"/>
        <v>0.38817526384332568</v>
      </c>
      <c r="P173" s="25">
        <f t="shared" si="158"/>
        <v>27.962986659812472</v>
      </c>
      <c r="Q173" s="25">
        <f t="shared" si="135"/>
        <v>0.84000400000000752</v>
      </c>
      <c r="R173" s="25">
        <f t="shared" si="153"/>
        <v>0.90428542857143002</v>
      </c>
      <c r="S173" s="25">
        <f t="shared" si="150"/>
        <v>72.640834916666662</v>
      </c>
      <c r="T173" s="20">
        <v>72.175742105979808</v>
      </c>
      <c r="U173" s="20">
        <v>0.2796318175249155</v>
      </c>
      <c r="V173" s="20">
        <v>0.54115511746252332</v>
      </c>
      <c r="W173" s="20">
        <v>-0.26152329993760781</v>
      </c>
    </row>
    <row r="174" spans="1:23" x14ac:dyDescent="0.35">
      <c r="A174" s="26">
        <v>42958</v>
      </c>
      <c r="B174" s="25">
        <v>71.610000999999997</v>
      </c>
      <c r="C174" s="25">
        <v>72.699996999999996</v>
      </c>
      <c r="D174" s="25">
        <v>71.279999000000004</v>
      </c>
      <c r="E174" s="25">
        <v>72.5</v>
      </c>
      <c r="F174" s="25">
        <v>21443700</v>
      </c>
      <c r="G174" s="25">
        <v>71.755409</v>
      </c>
      <c r="H174" s="19">
        <f t="shared" si="136"/>
        <v>1.5148512458322536E-2</v>
      </c>
      <c r="I174" s="27">
        <f t="shared" si="155"/>
        <v>0.12528232680270823</v>
      </c>
      <c r="J174" s="25">
        <f t="shared" si="137"/>
        <v>1.0899959999999993</v>
      </c>
      <c r="K174" s="25">
        <f t="shared" si="138"/>
        <v>1.0899959999999993</v>
      </c>
      <c r="L174" s="25">
        <f t="shared" si="139"/>
        <v>0</v>
      </c>
      <c r="M174" s="25">
        <f t="shared" ref="M174:N174" si="187">AVERAGE(K161:K174)</f>
        <v>0.18571407142857257</v>
      </c>
      <c r="N174" s="25">
        <f t="shared" si="187"/>
        <v>0.26428535714285822</v>
      </c>
      <c r="O174" s="25">
        <f t="shared" si="157"/>
        <v>0.7027028414903278</v>
      </c>
      <c r="P174" s="25">
        <f t="shared" si="158"/>
        <v>41.269846056947422</v>
      </c>
      <c r="Q174" s="25">
        <f t="shared" si="135"/>
        <v>1.4199979999999925</v>
      </c>
      <c r="R174" s="25">
        <f t="shared" si="153"/>
        <v>0.96142792857142978</v>
      </c>
      <c r="S174" s="25">
        <f t="shared" si="150"/>
        <v>72.511668</v>
      </c>
      <c r="T174" s="20">
        <v>72.199761209240563</v>
      </c>
      <c r="U174" s="20">
        <v>0.26247826449420586</v>
      </c>
      <c r="V174" s="20">
        <v>0.48541974686885986</v>
      </c>
      <c r="W174" s="20">
        <v>-0.222941482374654</v>
      </c>
    </row>
    <row r="175" spans="1:23" x14ac:dyDescent="0.35">
      <c r="A175" s="26">
        <v>42961</v>
      </c>
      <c r="B175" s="25">
        <v>73.059997999999993</v>
      </c>
      <c r="C175" s="25">
        <v>73.720000999999996</v>
      </c>
      <c r="D175" s="25">
        <v>72.949996999999996</v>
      </c>
      <c r="E175" s="25">
        <v>73.589995999999999</v>
      </c>
      <c r="F175" s="25">
        <v>20067300</v>
      </c>
      <c r="G175" s="25">
        <v>72.834213000000005</v>
      </c>
      <c r="H175" s="19">
        <f t="shared" si="136"/>
        <v>1.4922565039929482E-2</v>
      </c>
      <c r="I175" s="27">
        <f t="shared" si="155"/>
        <v>0.13783758919132272</v>
      </c>
      <c r="J175" s="25">
        <f t="shared" si="137"/>
        <v>1.0899959999999993</v>
      </c>
      <c r="K175" s="25">
        <f t="shared" si="138"/>
        <v>1.0899959999999993</v>
      </c>
      <c r="L175" s="25">
        <f t="shared" si="139"/>
        <v>0</v>
      </c>
      <c r="M175" s="25">
        <f t="shared" ref="M175:N175" si="188">AVERAGE(K162:K175)</f>
        <v>0.22142778571428628</v>
      </c>
      <c r="N175" s="25">
        <f t="shared" si="188"/>
        <v>0.26428535714285822</v>
      </c>
      <c r="O175" s="25">
        <f t="shared" si="157"/>
        <v>0.83783599707567047</v>
      </c>
      <c r="P175" s="25">
        <f t="shared" si="158"/>
        <v>45.588180795719488</v>
      </c>
      <c r="Q175" s="25">
        <f t="shared" si="135"/>
        <v>0.77000400000000013</v>
      </c>
      <c r="R175" s="25">
        <f t="shared" si="153"/>
        <v>0.95857121428571601</v>
      </c>
      <c r="S175" s="25">
        <f t="shared" si="150"/>
        <v>72.547500666666664</v>
      </c>
      <c r="T175" s="20">
        <v>72.302741564111628</v>
      </c>
      <c r="U175" s="20">
        <v>0.33299891366394263</v>
      </c>
      <c r="V175" s="20">
        <v>0.45493558022787645</v>
      </c>
      <c r="W175" s="20">
        <v>-0.12193666656393382</v>
      </c>
    </row>
    <row r="176" spans="1:23" x14ac:dyDescent="0.35">
      <c r="A176" s="26">
        <v>42962</v>
      </c>
      <c r="B176" s="25">
        <v>73.589995999999999</v>
      </c>
      <c r="C176" s="25">
        <v>73.589995999999999</v>
      </c>
      <c r="D176" s="25">
        <v>73.040001000000004</v>
      </c>
      <c r="E176" s="25">
        <v>73.220000999999996</v>
      </c>
      <c r="F176" s="25">
        <v>19181400</v>
      </c>
      <c r="G176" s="25">
        <v>72.854118</v>
      </c>
      <c r="H176" s="19">
        <f t="shared" si="136"/>
        <v>2.7325455631518561E-4</v>
      </c>
      <c r="I176" s="27">
        <f t="shared" si="155"/>
        <v>0.13774483543485883</v>
      </c>
      <c r="J176" s="25">
        <f t="shared" si="137"/>
        <v>-0.36999500000000296</v>
      </c>
      <c r="K176" s="25">
        <f t="shared" si="138"/>
        <v>0</v>
      </c>
      <c r="L176" s="25">
        <f t="shared" si="139"/>
        <v>0.36999500000000296</v>
      </c>
      <c r="M176" s="25">
        <f t="shared" ref="M176:N176" si="189">AVERAGE(K163:K176)</f>
        <v>0.22142778571428628</v>
      </c>
      <c r="N176" s="25">
        <f t="shared" si="189"/>
        <v>0.28071364285714395</v>
      </c>
      <c r="O176" s="25">
        <f t="shared" si="157"/>
        <v>0.78880307868389421</v>
      </c>
      <c r="P176" s="25">
        <f t="shared" si="158"/>
        <v>44.096697287901215</v>
      </c>
      <c r="Q176" s="25">
        <f t="shared" si="135"/>
        <v>0.54999499999999557</v>
      </c>
      <c r="R176" s="25">
        <f t="shared" si="153"/>
        <v>0.95714235714285778</v>
      </c>
      <c r="S176" s="25">
        <f t="shared" si="150"/>
        <v>72.562500666666665</v>
      </c>
      <c r="T176" s="20">
        <v>72.370686707510757</v>
      </c>
      <c r="U176" s="20">
        <v>0.35494000445318363</v>
      </c>
      <c r="V176" s="20">
        <v>0.43493646507293793</v>
      </c>
      <c r="W176" s="20">
        <v>-7.9996460619754295E-2</v>
      </c>
    </row>
    <row r="177" spans="1:23" x14ac:dyDescent="0.35">
      <c r="A177" s="26">
        <v>42963</v>
      </c>
      <c r="B177" s="25">
        <v>73.339995999999999</v>
      </c>
      <c r="C177" s="25">
        <v>74.099997999999999</v>
      </c>
      <c r="D177" s="25">
        <v>73.169998000000007</v>
      </c>
      <c r="E177" s="25">
        <v>73.650002000000001</v>
      </c>
      <c r="F177" s="25">
        <v>18150400</v>
      </c>
      <c r="G177" s="25">
        <v>73.281975000000003</v>
      </c>
      <c r="H177" s="19">
        <f t="shared" si="136"/>
        <v>5.8556132677879342E-3</v>
      </c>
      <c r="I177" s="27">
        <f t="shared" si="155"/>
        <v>0.12905124253720154</v>
      </c>
      <c r="J177" s="25">
        <f t="shared" si="137"/>
        <v>0.4300010000000043</v>
      </c>
      <c r="K177" s="25">
        <f t="shared" si="138"/>
        <v>0.4300010000000043</v>
      </c>
      <c r="L177" s="25">
        <f t="shared" si="139"/>
        <v>0</v>
      </c>
      <c r="M177" s="25">
        <f t="shared" ref="M177:N177" si="190">AVERAGE(K164:K177)</f>
        <v>0.2521421428571437</v>
      </c>
      <c r="N177" s="25">
        <f t="shared" si="190"/>
        <v>0.21714228571428659</v>
      </c>
      <c r="O177" s="25">
        <f t="shared" si="157"/>
        <v>1.1611839767999381</v>
      </c>
      <c r="P177" s="25">
        <f t="shared" si="158"/>
        <v>53.729066533211181</v>
      </c>
      <c r="Q177" s="25">
        <f t="shared" si="135"/>
        <v>0.92999999999999261</v>
      </c>
      <c r="R177" s="25">
        <f t="shared" si="153"/>
        <v>0.8735710714285706</v>
      </c>
      <c r="S177" s="25">
        <f t="shared" si="150"/>
        <v>72.641667749999996</v>
      </c>
      <c r="T177" s="20">
        <v>72.465450803250704</v>
      </c>
      <c r="U177" s="20">
        <v>0.40238749148801389</v>
      </c>
      <c r="V177" s="20">
        <v>0.42842667035595317</v>
      </c>
      <c r="W177" s="20">
        <v>-2.6039178867939272E-2</v>
      </c>
    </row>
    <row r="178" spans="1:23" x14ac:dyDescent="0.35">
      <c r="A178" s="26">
        <v>42964</v>
      </c>
      <c r="B178" s="25">
        <v>73.580001999999993</v>
      </c>
      <c r="C178" s="25">
        <v>73.870002999999997</v>
      </c>
      <c r="D178" s="25">
        <v>72.400002000000001</v>
      </c>
      <c r="E178" s="25">
        <v>72.400002000000001</v>
      </c>
      <c r="F178" s="25">
        <v>22977500</v>
      </c>
      <c r="G178" s="25">
        <v>72.038216000000006</v>
      </c>
      <c r="H178" s="19">
        <f t="shared" si="136"/>
        <v>-1.7117915440772759E-2</v>
      </c>
      <c r="I178" s="27">
        <f t="shared" si="155"/>
        <v>0.14988097883742024</v>
      </c>
      <c r="J178" s="25">
        <f t="shared" si="137"/>
        <v>-1.25</v>
      </c>
      <c r="K178" s="25">
        <f t="shared" si="138"/>
        <v>0</v>
      </c>
      <c r="L178" s="25">
        <f t="shared" si="139"/>
        <v>1.25</v>
      </c>
      <c r="M178" s="25">
        <f t="shared" ref="M178:N178" si="191">AVERAGE(K165:K178)</f>
        <v>0.2521421428571437</v>
      </c>
      <c r="N178" s="25">
        <f t="shared" si="191"/>
        <v>0.29785635714285824</v>
      </c>
      <c r="O178" s="25">
        <f t="shared" si="157"/>
        <v>0.84652261672632678</v>
      </c>
      <c r="P178" s="25">
        <f t="shared" si="158"/>
        <v>45.844151003528701</v>
      </c>
      <c r="Q178" s="25">
        <f t="shared" si="135"/>
        <v>1.4700009999999963</v>
      </c>
      <c r="R178" s="25">
        <f t="shared" si="153"/>
        <v>0.92357135714285676</v>
      </c>
      <c r="S178" s="25">
        <f t="shared" si="150"/>
        <v>72.62666775000001</v>
      </c>
      <c r="T178" s="20">
        <v>72.460602743750655</v>
      </c>
      <c r="U178" s="20">
        <v>0.33526073641287724</v>
      </c>
      <c r="V178" s="20">
        <v>0.40979348356733802</v>
      </c>
      <c r="W178" s="20">
        <v>-7.4532747154460788E-2</v>
      </c>
    </row>
    <row r="179" spans="1:23" x14ac:dyDescent="0.35">
      <c r="A179" s="26">
        <v>42965</v>
      </c>
      <c r="B179" s="25">
        <v>72.269997000000004</v>
      </c>
      <c r="C179" s="25">
        <v>72.839995999999999</v>
      </c>
      <c r="D179" s="25">
        <v>71.930000000000007</v>
      </c>
      <c r="E179" s="25">
        <v>72.489998</v>
      </c>
      <c r="F179" s="25">
        <v>18761500</v>
      </c>
      <c r="G179" s="25">
        <v>72.127762000000004</v>
      </c>
      <c r="H179" s="19">
        <f t="shared" si="136"/>
        <v>1.2422627412930021E-3</v>
      </c>
      <c r="I179" s="27">
        <f t="shared" si="155"/>
        <v>0.14859648992125449</v>
      </c>
      <c r="J179" s="25">
        <f t="shared" si="137"/>
        <v>8.9995999999999299E-2</v>
      </c>
      <c r="K179" s="25">
        <f t="shared" si="138"/>
        <v>8.9995999999999299E-2</v>
      </c>
      <c r="L179" s="25">
        <f t="shared" si="139"/>
        <v>0</v>
      </c>
      <c r="M179" s="25">
        <f t="shared" ref="M179:N179" si="192">AVERAGE(K166:K179)</f>
        <v>0.25857042857142937</v>
      </c>
      <c r="N179" s="25">
        <f t="shared" si="192"/>
        <v>0.27357035714285771</v>
      </c>
      <c r="O179" s="25">
        <f t="shared" si="157"/>
        <v>0.94516975915049373</v>
      </c>
      <c r="P179" s="25">
        <f t="shared" si="158"/>
        <v>48.590605252020467</v>
      </c>
      <c r="Q179" s="25">
        <f t="shared" si="135"/>
        <v>0.90999599999999248</v>
      </c>
      <c r="R179" s="25">
        <f t="shared" si="153"/>
        <v>0.91499978571428442</v>
      </c>
      <c r="S179" s="25">
        <f t="shared" si="150"/>
        <v>72.645834083333327</v>
      </c>
      <c r="T179" s="20">
        <v>72.462780170139496</v>
      </c>
      <c r="U179" s="20">
        <v>0.2860270823065747</v>
      </c>
      <c r="V179" s="20">
        <v>0.3850402033151854</v>
      </c>
      <c r="W179" s="20">
        <v>-9.9013121008610705E-2</v>
      </c>
    </row>
    <row r="180" spans="1:23" x14ac:dyDescent="0.35">
      <c r="A180" s="26">
        <v>42968</v>
      </c>
      <c r="B180" s="25">
        <v>72.470000999999996</v>
      </c>
      <c r="C180" s="25">
        <v>72.480002999999996</v>
      </c>
      <c r="D180" s="25">
        <v>71.699996999999996</v>
      </c>
      <c r="E180" s="25">
        <v>72.150002000000001</v>
      </c>
      <c r="F180" s="25">
        <v>17734800</v>
      </c>
      <c r="G180" s="25">
        <v>71.789467000000002</v>
      </c>
      <c r="H180" s="19">
        <f t="shared" si="136"/>
        <v>-4.7012525939678987E-3</v>
      </c>
      <c r="I180" s="27">
        <f t="shared" si="155"/>
        <v>0.14988003846056586</v>
      </c>
      <c r="J180" s="25">
        <f t="shared" si="137"/>
        <v>-0.3399959999999993</v>
      </c>
      <c r="K180" s="25">
        <f t="shared" si="138"/>
        <v>0</v>
      </c>
      <c r="L180" s="25">
        <f t="shared" si="139"/>
        <v>0.3399959999999993</v>
      </c>
      <c r="M180" s="25">
        <f t="shared" ref="M180:N180" si="193">AVERAGE(K167:K180)</f>
        <v>0.25857042857142937</v>
      </c>
      <c r="N180" s="25">
        <f t="shared" si="193"/>
        <v>0.28928471428571456</v>
      </c>
      <c r="O180" s="25">
        <f t="shared" si="157"/>
        <v>0.89382679347533733</v>
      </c>
      <c r="P180" s="25">
        <f t="shared" si="158"/>
        <v>47.196860692581453</v>
      </c>
      <c r="Q180" s="25">
        <f t="shared" si="135"/>
        <v>0.7800060000000002</v>
      </c>
      <c r="R180" s="25">
        <f t="shared" si="153"/>
        <v>0.90428592857142676</v>
      </c>
      <c r="S180" s="25">
        <f t="shared" si="150"/>
        <v>72.645834083333327</v>
      </c>
      <c r="T180" s="20">
        <v>72.439611416795827</v>
      </c>
      <c r="U180" s="20">
        <v>0.21707195065853568</v>
      </c>
      <c r="V180" s="20">
        <v>0.3514465527838555</v>
      </c>
      <c r="W180" s="20">
        <v>-0.13437460212531982</v>
      </c>
    </row>
    <row r="181" spans="1:23" x14ac:dyDescent="0.35">
      <c r="A181" s="26">
        <v>42969</v>
      </c>
      <c r="B181" s="25">
        <v>72.349997999999999</v>
      </c>
      <c r="C181" s="25">
        <v>73.239998</v>
      </c>
      <c r="D181" s="25">
        <v>72.349997999999999</v>
      </c>
      <c r="E181" s="25">
        <v>73.160004000000001</v>
      </c>
      <c r="F181" s="25">
        <v>14343700</v>
      </c>
      <c r="G181" s="25">
        <v>72.794417999999993</v>
      </c>
      <c r="H181" s="19">
        <f t="shared" si="136"/>
        <v>1.3901510310264882E-2</v>
      </c>
      <c r="I181" s="27">
        <f t="shared" si="155"/>
        <v>0.15937010855941236</v>
      </c>
      <c r="J181" s="25">
        <f t="shared" si="137"/>
        <v>1.0100020000000001</v>
      </c>
      <c r="K181" s="25">
        <f t="shared" si="138"/>
        <v>1.0100020000000001</v>
      </c>
      <c r="L181" s="25">
        <f t="shared" si="139"/>
        <v>0</v>
      </c>
      <c r="M181" s="25">
        <f t="shared" ref="M181:N181" si="194">AVERAGE(K168:K181)</f>
        <v>0.33071342857142938</v>
      </c>
      <c r="N181" s="25">
        <f t="shared" si="194"/>
        <v>0.26642757142857221</v>
      </c>
      <c r="O181" s="25">
        <f t="shared" si="157"/>
        <v>1.2412883051035575</v>
      </c>
      <c r="P181" s="25">
        <f t="shared" si="158"/>
        <v>55.38280382211714</v>
      </c>
      <c r="Q181" s="25">
        <f t="shared" si="135"/>
        <v>0.89000000000000057</v>
      </c>
      <c r="R181" s="25">
        <f t="shared" si="153"/>
        <v>0.88785764285714208</v>
      </c>
      <c r="S181" s="25">
        <f t="shared" si="150"/>
        <v>72.685834416666651</v>
      </c>
      <c r="T181" s="20">
        <v>72.492973830366509</v>
      </c>
      <c r="U181" s="20">
        <v>0.24114348055641699</v>
      </c>
      <c r="V181" s="20">
        <v>0.32938593833836782</v>
      </c>
      <c r="W181" s="20">
        <v>-8.8242457781950834E-2</v>
      </c>
    </row>
    <row r="182" spans="1:23" x14ac:dyDescent="0.35">
      <c r="A182" s="26">
        <v>42970</v>
      </c>
      <c r="B182" s="25">
        <v>72.959998999999996</v>
      </c>
      <c r="C182" s="25">
        <v>73.150002000000001</v>
      </c>
      <c r="D182" s="25">
        <v>72.529999000000004</v>
      </c>
      <c r="E182" s="25">
        <v>72.720000999999996</v>
      </c>
      <c r="F182" s="25">
        <v>13766500</v>
      </c>
      <c r="G182" s="25">
        <v>72.356621000000004</v>
      </c>
      <c r="H182" s="19">
        <f t="shared" si="136"/>
        <v>-6.0323140721752601E-3</v>
      </c>
      <c r="I182" s="27">
        <f t="shared" si="155"/>
        <v>0.1620245838257458</v>
      </c>
      <c r="J182" s="25">
        <f t="shared" si="137"/>
        <v>-0.44000300000000436</v>
      </c>
      <c r="K182" s="25">
        <f t="shared" si="138"/>
        <v>0</v>
      </c>
      <c r="L182" s="25">
        <f t="shared" si="139"/>
        <v>0.44000300000000436</v>
      </c>
      <c r="M182" s="25">
        <f t="shared" ref="M182:N182" si="195">AVERAGE(K169:K182)</f>
        <v>0.33071342857142938</v>
      </c>
      <c r="N182" s="25">
        <f t="shared" si="195"/>
        <v>0.2899992142857154</v>
      </c>
      <c r="O182" s="25">
        <f t="shared" si="157"/>
        <v>1.1403942227429664</v>
      </c>
      <c r="P182" s="25">
        <f t="shared" si="158"/>
        <v>53.279634687180383</v>
      </c>
      <c r="Q182" s="25">
        <f t="shared" si="135"/>
        <v>0.62000299999999697</v>
      </c>
      <c r="R182" s="25">
        <f t="shared" si="153"/>
        <v>0.89000042857142703</v>
      </c>
      <c r="S182" s="25">
        <f t="shared" si="150"/>
        <v>72.712500999999989</v>
      </c>
      <c r="T182" s="20">
        <v>72.509790657746763</v>
      </c>
      <c r="U182" s="20">
        <v>0.22215491303417423</v>
      </c>
      <c r="V182" s="20">
        <v>0.30793973327752916</v>
      </c>
      <c r="W182" s="20">
        <v>-8.5784820243354931E-2</v>
      </c>
    </row>
    <row r="183" spans="1:23" x14ac:dyDescent="0.35">
      <c r="A183" s="26">
        <v>42971</v>
      </c>
      <c r="B183" s="25">
        <v>72.739998</v>
      </c>
      <c r="C183" s="25">
        <v>72.860000999999997</v>
      </c>
      <c r="D183" s="25">
        <v>72.069999999999993</v>
      </c>
      <c r="E183" s="25">
        <v>72.690002000000007</v>
      </c>
      <c r="F183" s="25">
        <v>17098300</v>
      </c>
      <c r="G183" s="25">
        <v>72.326767000000004</v>
      </c>
      <c r="H183" s="19">
        <f t="shared" si="136"/>
        <v>-4.1268041668602717E-4</v>
      </c>
      <c r="I183" s="27">
        <f t="shared" si="155"/>
        <v>0.15942511517197733</v>
      </c>
      <c r="J183" s="25">
        <f t="shared" si="137"/>
        <v>-2.9998999999989451E-2</v>
      </c>
      <c r="K183" s="25">
        <f t="shared" si="138"/>
        <v>0</v>
      </c>
      <c r="L183" s="25">
        <f t="shared" si="139"/>
        <v>2.9998999999989451E-2</v>
      </c>
      <c r="M183" s="25">
        <f t="shared" ref="M183:N183" si="196">AVERAGE(K170:K183)</f>
        <v>0.29285642857142896</v>
      </c>
      <c r="N183" s="25">
        <f t="shared" si="196"/>
        <v>0.2921420000000004</v>
      </c>
      <c r="O183" s="25">
        <f t="shared" si="157"/>
        <v>1.0024454839476302</v>
      </c>
      <c r="P183" s="25">
        <f t="shared" si="158"/>
        <v>50.061062435088353</v>
      </c>
      <c r="Q183" s="25">
        <f t="shared" si="135"/>
        <v>0.79000100000000373</v>
      </c>
      <c r="R183" s="25">
        <f t="shared" si="153"/>
        <v>0.88928599999999847</v>
      </c>
      <c r="S183" s="25">
        <f t="shared" si="150"/>
        <v>72.704167749999996</v>
      </c>
      <c r="T183" s="20">
        <v>72.523139646061807</v>
      </c>
      <c r="U183" s="20">
        <v>0.2023530676759151</v>
      </c>
      <c r="V183" s="20">
        <v>0.28682240015720639</v>
      </c>
      <c r="W183" s="20">
        <v>-8.4469332481291293E-2</v>
      </c>
    </row>
    <row r="184" spans="1:23" x14ac:dyDescent="0.35">
      <c r="A184" s="26">
        <v>42972</v>
      </c>
      <c r="B184" s="25">
        <v>72.860000999999997</v>
      </c>
      <c r="C184" s="25">
        <v>73.349997999999999</v>
      </c>
      <c r="D184" s="25">
        <v>72.480002999999996</v>
      </c>
      <c r="E184" s="25">
        <v>72.819999999999993</v>
      </c>
      <c r="F184" s="25">
        <v>12794300</v>
      </c>
      <c r="G184" s="25">
        <v>72.456115999999994</v>
      </c>
      <c r="H184" s="19">
        <f t="shared" si="136"/>
        <v>1.786800093128116E-3</v>
      </c>
      <c r="I184" s="27">
        <f t="shared" si="155"/>
        <v>0.158303733453386</v>
      </c>
      <c r="J184" s="25">
        <f t="shared" si="137"/>
        <v>0.12999799999998629</v>
      </c>
      <c r="K184" s="25">
        <f t="shared" si="138"/>
        <v>0.12999799999998629</v>
      </c>
      <c r="L184" s="25">
        <f t="shared" si="139"/>
        <v>0</v>
      </c>
      <c r="M184" s="25">
        <f t="shared" ref="M184:N184" si="197">AVERAGE(K171:K184)</f>
        <v>0.30214199999999941</v>
      </c>
      <c r="N184" s="25">
        <f t="shared" si="197"/>
        <v>0.27214214285714278</v>
      </c>
      <c r="O184" s="25">
        <f t="shared" si="157"/>
        <v>1.1102359848713494</v>
      </c>
      <c r="P184" s="25">
        <f t="shared" si="158"/>
        <v>52.611935007782314</v>
      </c>
      <c r="Q184" s="25">
        <f t="shared" si="135"/>
        <v>0.86999500000000296</v>
      </c>
      <c r="R184" s="25">
        <f t="shared" si="153"/>
        <v>0.90571421428571297</v>
      </c>
      <c r="S184" s="25">
        <f t="shared" si="150"/>
        <v>72.733334333333332</v>
      </c>
      <c r="T184" s="20">
        <v>72.545129301909071</v>
      </c>
      <c r="U184" s="20">
        <v>0.19490299433054759</v>
      </c>
      <c r="V184" s="20">
        <v>0.26843851899187465</v>
      </c>
      <c r="W184" s="20">
        <v>-7.3535524661327067E-2</v>
      </c>
    </row>
    <row r="185" spans="1:23" x14ac:dyDescent="0.35">
      <c r="A185" s="26">
        <v>42975</v>
      </c>
      <c r="B185" s="25">
        <v>73.059997999999993</v>
      </c>
      <c r="C185" s="25">
        <v>73.089995999999999</v>
      </c>
      <c r="D185" s="25">
        <v>72.550003000000004</v>
      </c>
      <c r="E185" s="25">
        <v>72.830001999999993</v>
      </c>
      <c r="F185" s="25">
        <v>14569700</v>
      </c>
      <c r="G185" s="25">
        <v>72.466071999999997</v>
      </c>
      <c r="H185" s="19">
        <f t="shared" si="136"/>
        <v>1.3739787058240582E-4</v>
      </c>
      <c r="I185" s="27">
        <f t="shared" si="155"/>
        <v>0.15692013601096297</v>
      </c>
      <c r="J185" s="25">
        <f t="shared" si="137"/>
        <v>1.0002000000000066E-2</v>
      </c>
      <c r="K185" s="25">
        <f t="shared" si="138"/>
        <v>1.0002000000000066E-2</v>
      </c>
      <c r="L185" s="25">
        <f t="shared" si="139"/>
        <v>0</v>
      </c>
      <c r="M185" s="25">
        <f t="shared" ref="M185:N185" si="198">AVERAGE(K172:K185)</f>
        <v>0.27499935714285634</v>
      </c>
      <c r="N185" s="25">
        <f t="shared" si="198"/>
        <v>0.27214214285714278</v>
      </c>
      <c r="O185" s="25">
        <f t="shared" si="157"/>
        <v>1.0104989776876028</v>
      </c>
      <c r="P185" s="25">
        <f t="shared" si="158"/>
        <v>50.261103780805662</v>
      </c>
      <c r="Q185" s="25">
        <f t="shared" si="135"/>
        <v>0.5399929999999955</v>
      </c>
      <c r="R185" s="25">
        <f t="shared" si="153"/>
        <v>0.84571392857142669</v>
      </c>
      <c r="S185" s="25">
        <f t="shared" si="150"/>
        <v>72.851667500000005</v>
      </c>
      <c r="T185" s="20">
        <v>72.566230983249142</v>
      </c>
      <c r="U185" s="20">
        <v>0.18764280587669191</v>
      </c>
      <c r="V185" s="20">
        <v>0.25227937636883813</v>
      </c>
      <c r="W185" s="20">
        <v>-6.4636570492146217E-2</v>
      </c>
    </row>
    <row r="186" spans="1:23" x14ac:dyDescent="0.35">
      <c r="A186" s="26">
        <v>42976</v>
      </c>
      <c r="B186" s="25">
        <v>72.25</v>
      </c>
      <c r="C186" s="25">
        <v>73.160004000000001</v>
      </c>
      <c r="D186" s="25">
        <v>72.050003000000004</v>
      </c>
      <c r="E186" s="25">
        <v>73.050003000000004</v>
      </c>
      <c r="F186" s="25">
        <v>11478400</v>
      </c>
      <c r="G186" s="25">
        <v>72.684974999999994</v>
      </c>
      <c r="H186" s="19">
        <f t="shared" si="136"/>
        <v>3.0162120147358583E-3</v>
      </c>
      <c r="I186" s="27">
        <f t="shared" si="155"/>
        <v>0.15565091863726879</v>
      </c>
      <c r="J186" s="25">
        <f t="shared" si="137"/>
        <v>0.22000100000001055</v>
      </c>
      <c r="K186" s="25">
        <f t="shared" si="138"/>
        <v>0.22000100000001055</v>
      </c>
      <c r="L186" s="25">
        <f t="shared" si="139"/>
        <v>0</v>
      </c>
      <c r="M186" s="25">
        <f t="shared" ref="M186:N186" si="199">AVERAGE(K173:K186)</f>
        <v>0.29071371428571424</v>
      </c>
      <c r="N186" s="25">
        <f t="shared" si="199"/>
        <v>0.2492849999999994</v>
      </c>
      <c r="O186" s="25">
        <f t="shared" si="157"/>
        <v>1.1661901610033294</v>
      </c>
      <c r="P186" s="25">
        <f t="shared" si="158"/>
        <v>53.836001196828299</v>
      </c>
      <c r="Q186" s="25">
        <f t="shared" si="135"/>
        <v>1.1100009999999969</v>
      </c>
      <c r="R186" s="25">
        <f t="shared" si="153"/>
        <v>0.89214264285714096</v>
      </c>
      <c r="S186" s="25">
        <f t="shared" si="150"/>
        <v>72.897501083333339</v>
      </c>
      <c r="T186" s="20">
        <v>72.602065947452914</v>
      </c>
      <c r="U186" s="20">
        <v>0.19736618180741061</v>
      </c>
      <c r="V186" s="20">
        <v>0.24129673745655264</v>
      </c>
      <c r="W186" s="20">
        <v>-4.3930555649142028E-2</v>
      </c>
    </row>
    <row r="187" spans="1:23" x14ac:dyDescent="0.35">
      <c r="A187" s="26">
        <v>42977</v>
      </c>
      <c r="B187" s="25">
        <v>73.010002</v>
      </c>
      <c r="C187" s="25">
        <v>74.209998999999996</v>
      </c>
      <c r="D187" s="25">
        <v>72.830001999999993</v>
      </c>
      <c r="E187" s="25">
        <v>74.010002</v>
      </c>
      <c r="F187" s="25">
        <v>16897800</v>
      </c>
      <c r="G187" s="25">
        <v>73.640174999999999</v>
      </c>
      <c r="H187" s="19">
        <f t="shared" si="136"/>
        <v>1.3056040859600743E-2</v>
      </c>
      <c r="I187" s="27">
        <f t="shared" si="155"/>
        <v>0.1457089211830741</v>
      </c>
      <c r="J187" s="25">
        <f t="shared" si="137"/>
        <v>0.95999899999999627</v>
      </c>
      <c r="K187" s="25">
        <f t="shared" si="138"/>
        <v>0.95999899999999627</v>
      </c>
      <c r="L187" s="25">
        <f t="shared" si="139"/>
        <v>0</v>
      </c>
      <c r="M187" s="25">
        <f t="shared" ref="M187:N187" si="200">AVERAGE(K174:K187)</f>
        <v>0.35928507142857108</v>
      </c>
      <c r="N187" s="25">
        <f t="shared" si="200"/>
        <v>0.17357092857142828</v>
      </c>
      <c r="O187" s="25">
        <f t="shared" si="157"/>
        <v>2.0699611068838486</v>
      </c>
      <c r="P187" s="25">
        <f t="shared" si="158"/>
        <v>67.426297429056163</v>
      </c>
      <c r="Q187" s="25">
        <f t="shared" si="135"/>
        <v>1.379997000000003</v>
      </c>
      <c r="R187" s="25">
        <f t="shared" si="153"/>
        <v>0.93071357142856925</v>
      </c>
      <c r="S187" s="25">
        <f t="shared" si="150"/>
        <v>72.93250158333332</v>
      </c>
      <c r="T187" s="20">
        <v>72.706357506900844</v>
      </c>
      <c r="U187" s="20">
        <v>0.27931614093481016</v>
      </c>
      <c r="V187" s="20">
        <v>0.24890061815220416</v>
      </c>
      <c r="W187" s="20">
        <v>3.0415522782606008E-2</v>
      </c>
    </row>
    <row r="188" spans="1:23" x14ac:dyDescent="0.35">
      <c r="A188" s="26">
        <v>42978</v>
      </c>
      <c r="B188" s="25">
        <v>74.029999000000004</v>
      </c>
      <c r="C188" s="25">
        <v>74.959998999999996</v>
      </c>
      <c r="D188" s="25">
        <v>73.800003000000004</v>
      </c>
      <c r="E188" s="25">
        <v>74.769997000000004</v>
      </c>
      <c r="F188" s="25">
        <v>27652800</v>
      </c>
      <c r="G188" s="25">
        <v>74.396370000000005</v>
      </c>
      <c r="H188" s="19">
        <f t="shared" si="136"/>
        <v>1.0216417538270236E-2</v>
      </c>
      <c r="I188" s="27">
        <f t="shared" si="155"/>
        <v>0.13904448889460841</v>
      </c>
      <c r="J188" s="25">
        <f t="shared" si="137"/>
        <v>0.75999500000000353</v>
      </c>
      <c r="K188" s="25">
        <f t="shared" si="138"/>
        <v>0.75999500000000353</v>
      </c>
      <c r="L188" s="25">
        <f t="shared" si="139"/>
        <v>0</v>
      </c>
      <c r="M188" s="25">
        <f t="shared" ref="M188:N188" si="201">AVERAGE(K175:K188)</f>
        <v>0.33571357142857139</v>
      </c>
      <c r="N188" s="25">
        <f t="shared" si="201"/>
        <v>0.17357092857142828</v>
      </c>
      <c r="O188" s="25">
        <f t="shared" si="157"/>
        <v>1.934157835022573</v>
      </c>
      <c r="P188" s="25">
        <f t="shared" si="158"/>
        <v>65.918670493323788</v>
      </c>
      <c r="Q188" s="25">
        <f t="shared" si="135"/>
        <v>1.1599959999999925</v>
      </c>
      <c r="R188" s="25">
        <f t="shared" si="153"/>
        <v>0.91214199999999779</v>
      </c>
      <c r="S188" s="25">
        <f t="shared" si="150"/>
        <v>73.061667916666664</v>
      </c>
      <c r="T188" s="20">
        <v>72.859219691574864</v>
      </c>
      <c r="U188" s="20">
        <v>0.40096524120914978</v>
      </c>
      <c r="V188" s="20">
        <v>0.27931354276359333</v>
      </c>
      <c r="W188" s="20">
        <v>0.12165169844555646</v>
      </c>
    </row>
    <row r="189" spans="1:23" x14ac:dyDescent="0.35">
      <c r="A189" s="26">
        <v>42979</v>
      </c>
      <c r="B189" s="25">
        <v>74.709998999999996</v>
      </c>
      <c r="C189" s="25">
        <v>74.739998</v>
      </c>
      <c r="D189" s="25">
        <v>73.639999000000003</v>
      </c>
      <c r="E189" s="25">
        <v>73.940002000000007</v>
      </c>
      <c r="F189" s="25">
        <v>21736200</v>
      </c>
      <c r="G189" s="25">
        <v>73.570526000000001</v>
      </c>
      <c r="H189" s="19">
        <f t="shared" si="136"/>
        <v>-1.1162666754173309E-2</v>
      </c>
      <c r="I189" s="27">
        <f t="shared" si="155"/>
        <v>0.13820605966176422</v>
      </c>
      <c r="J189" s="25">
        <f t="shared" si="137"/>
        <v>-0.82999499999999671</v>
      </c>
      <c r="K189" s="25">
        <f t="shared" si="138"/>
        <v>0</v>
      </c>
      <c r="L189" s="25">
        <f t="shared" si="139"/>
        <v>0.82999499999999671</v>
      </c>
      <c r="M189" s="25">
        <f t="shared" ref="M189:N189" si="202">AVERAGE(K176:K189)</f>
        <v>0.25785671428571433</v>
      </c>
      <c r="N189" s="25">
        <f t="shared" si="202"/>
        <v>0.23285628571428521</v>
      </c>
      <c r="O189" s="25">
        <f t="shared" si="157"/>
        <v>1.1073641988866243</v>
      </c>
      <c r="P189" s="25">
        <f t="shared" si="158"/>
        <v>52.547357474881359</v>
      </c>
      <c r="Q189" s="25">
        <f t="shared" si="135"/>
        <v>1.0999989999999968</v>
      </c>
      <c r="R189" s="25">
        <f t="shared" si="153"/>
        <v>0.93571307142856897</v>
      </c>
      <c r="S189" s="25">
        <f t="shared" si="150"/>
        <v>73.085834583333323</v>
      </c>
      <c r="T189" s="20">
        <v>72.9392776403471</v>
      </c>
      <c r="U189" s="20">
        <v>0.42549453354706657</v>
      </c>
      <c r="V189" s="20">
        <v>0.30854974092028797</v>
      </c>
      <c r="W189" s="20">
        <v>0.11694479262677859</v>
      </c>
    </row>
    <row r="190" spans="1:23" x14ac:dyDescent="0.35">
      <c r="A190" s="26">
        <v>42983</v>
      </c>
      <c r="B190" s="25">
        <v>73.339995999999999</v>
      </c>
      <c r="C190" s="25">
        <v>73.889999000000003</v>
      </c>
      <c r="D190" s="25">
        <v>72.980002999999996</v>
      </c>
      <c r="E190" s="25">
        <v>73.610000999999997</v>
      </c>
      <c r="F190" s="25">
        <v>21556000</v>
      </c>
      <c r="G190" s="25">
        <v>73.242171999999997</v>
      </c>
      <c r="H190" s="19">
        <f t="shared" si="136"/>
        <v>-4.4731082797004537E-3</v>
      </c>
      <c r="I190" s="27">
        <f t="shared" si="155"/>
        <v>0.13995836838438491</v>
      </c>
      <c r="J190" s="25">
        <f t="shared" si="137"/>
        <v>-0.33000100000000998</v>
      </c>
      <c r="K190" s="25">
        <f t="shared" si="138"/>
        <v>0</v>
      </c>
      <c r="L190" s="25">
        <f t="shared" si="139"/>
        <v>0.33000100000000998</v>
      </c>
      <c r="M190" s="25">
        <f t="shared" ref="M190:N190" si="203">AVERAGE(K177:K190)</f>
        <v>0.25785671428571433</v>
      </c>
      <c r="N190" s="25">
        <f t="shared" si="203"/>
        <v>0.22999957142857141</v>
      </c>
      <c r="O190" s="25">
        <f t="shared" si="157"/>
        <v>1.1211182381085185</v>
      </c>
      <c r="P190" s="25">
        <f t="shared" si="158"/>
        <v>52.855056260713795</v>
      </c>
      <c r="Q190" s="25">
        <f t="shared" si="135"/>
        <v>0.90999600000000669</v>
      </c>
      <c r="R190" s="25">
        <f t="shared" si="153"/>
        <v>0.96142742857142693</v>
      </c>
      <c r="S190" s="25">
        <f t="shared" si="150"/>
        <v>73.186667833333331</v>
      </c>
      <c r="T190" s="20">
        <v>72.988960852173236</v>
      </c>
      <c r="U190" s="20">
        <v>0.41353883342952713</v>
      </c>
      <c r="V190" s="20">
        <v>0.32954755942213582</v>
      </c>
      <c r="W190" s="20">
        <v>8.3991274007391314E-2</v>
      </c>
    </row>
    <row r="191" spans="1:23" x14ac:dyDescent="0.35">
      <c r="A191" s="26">
        <v>42984</v>
      </c>
      <c r="B191" s="25">
        <v>73.739998</v>
      </c>
      <c r="C191" s="25">
        <v>74.040001000000004</v>
      </c>
      <c r="D191" s="25">
        <v>73.349997999999999</v>
      </c>
      <c r="E191" s="25">
        <v>73.400002000000001</v>
      </c>
      <c r="F191" s="25">
        <v>16535800</v>
      </c>
      <c r="G191" s="25">
        <v>73.033218000000005</v>
      </c>
      <c r="H191" s="19">
        <f t="shared" si="136"/>
        <v>-2.856996547826539E-3</v>
      </c>
      <c r="I191" s="27">
        <f t="shared" si="155"/>
        <v>0.13822073888261688</v>
      </c>
      <c r="J191" s="25">
        <f t="shared" si="137"/>
        <v>-0.20999899999999627</v>
      </c>
      <c r="K191" s="25">
        <f t="shared" si="138"/>
        <v>0</v>
      </c>
      <c r="L191" s="25">
        <f t="shared" si="139"/>
        <v>0.20999899999999627</v>
      </c>
      <c r="M191" s="25">
        <f t="shared" ref="M191:N191" si="204">AVERAGE(K178:K191)</f>
        <v>0.22714235714285685</v>
      </c>
      <c r="N191" s="25">
        <f t="shared" si="204"/>
        <v>0.24499949999999973</v>
      </c>
      <c r="O191" s="25">
        <f t="shared" si="157"/>
        <v>0.92711355387605732</v>
      </c>
      <c r="P191" s="25">
        <f t="shared" si="158"/>
        <v>48.108921864584886</v>
      </c>
      <c r="Q191" s="25">
        <f t="shared" si="135"/>
        <v>0.69000300000000436</v>
      </c>
      <c r="R191" s="25">
        <f t="shared" si="153"/>
        <v>0.94428478571428498</v>
      </c>
      <c r="S191" s="25">
        <f t="shared" si="150"/>
        <v>73.262501499999999</v>
      </c>
      <c r="T191" s="20">
        <v>73.019408344604855</v>
      </c>
      <c r="U191" s="20">
        <v>0.38270708167441114</v>
      </c>
      <c r="V191" s="20">
        <v>0.3401794638725909</v>
      </c>
      <c r="W191" s="20">
        <v>4.2527617801820239E-2</v>
      </c>
    </row>
    <row r="192" spans="1:23" x14ac:dyDescent="0.35">
      <c r="A192" s="26">
        <v>42985</v>
      </c>
      <c r="B192" s="25">
        <v>73.680000000000007</v>
      </c>
      <c r="C192" s="25">
        <v>74.599997999999999</v>
      </c>
      <c r="D192" s="25">
        <v>73.599997999999999</v>
      </c>
      <c r="E192" s="25">
        <v>74.339995999999999</v>
      </c>
      <c r="F192" s="25">
        <v>17471200</v>
      </c>
      <c r="G192" s="25">
        <v>73.968520999999996</v>
      </c>
      <c r="H192" s="19">
        <f t="shared" si="136"/>
        <v>1.272523206300062E-2</v>
      </c>
      <c r="I192" s="27">
        <f t="shared" si="155"/>
        <v>0.12494665341471102</v>
      </c>
      <c r="J192" s="25">
        <f t="shared" si="137"/>
        <v>0.93999399999999866</v>
      </c>
      <c r="K192" s="25">
        <f t="shared" si="138"/>
        <v>0.93999399999999866</v>
      </c>
      <c r="L192" s="25">
        <f t="shared" si="139"/>
        <v>0</v>
      </c>
      <c r="M192" s="25">
        <f t="shared" ref="M192:N192" si="205">AVERAGE(K179:K192)</f>
        <v>0.29428478571428535</v>
      </c>
      <c r="N192" s="25">
        <f t="shared" si="205"/>
        <v>0.15571378571428543</v>
      </c>
      <c r="O192" s="25">
        <f t="shared" si="157"/>
        <v>1.8899083620910719</v>
      </c>
      <c r="P192" s="25">
        <f t="shared" si="158"/>
        <v>65.396826656592566</v>
      </c>
      <c r="Q192" s="25">
        <f t="shared" si="135"/>
        <v>1</v>
      </c>
      <c r="R192" s="25">
        <f t="shared" si="153"/>
        <v>0.91071328571428523</v>
      </c>
      <c r="S192" s="25">
        <f t="shared" si="150"/>
        <v>73.445001000000005</v>
      </c>
      <c r="T192" s="20">
        <v>73.117229652411908</v>
      </c>
      <c r="U192" s="20">
        <v>0.42917509290131761</v>
      </c>
      <c r="V192" s="20">
        <v>0.35797858967833629</v>
      </c>
      <c r="W192" s="20">
        <v>7.1196503222981322E-2</v>
      </c>
    </row>
    <row r="193" spans="1:23" x14ac:dyDescent="0.35">
      <c r="A193" s="26">
        <v>42986</v>
      </c>
      <c r="B193" s="25">
        <v>74.330001999999993</v>
      </c>
      <c r="C193" s="25">
        <v>74.440002000000007</v>
      </c>
      <c r="D193" s="25">
        <v>73.839995999999999</v>
      </c>
      <c r="E193" s="25">
        <v>73.980002999999996</v>
      </c>
      <c r="F193" s="25">
        <v>14703800</v>
      </c>
      <c r="G193" s="25">
        <v>73.610320999999999</v>
      </c>
      <c r="H193" s="19">
        <f t="shared" si="136"/>
        <v>-4.8543639258324519E-3</v>
      </c>
      <c r="I193" s="27">
        <f t="shared" si="155"/>
        <v>0.12819327722663582</v>
      </c>
      <c r="J193" s="25">
        <f t="shared" si="137"/>
        <v>-0.35999300000000289</v>
      </c>
      <c r="K193" s="25">
        <f t="shared" si="138"/>
        <v>0</v>
      </c>
      <c r="L193" s="25">
        <f t="shared" si="139"/>
        <v>0.35999300000000289</v>
      </c>
      <c r="M193" s="25">
        <f t="shared" ref="M193:N193" si="206">AVERAGE(K180:K193)</f>
        <v>0.28785649999999968</v>
      </c>
      <c r="N193" s="25">
        <f t="shared" si="206"/>
        <v>0.18142757142857135</v>
      </c>
      <c r="O193" s="25">
        <f t="shared" si="157"/>
        <v>1.5866193750674205</v>
      </c>
      <c r="P193" s="25">
        <f t="shared" si="158"/>
        <v>61.339499362022103</v>
      </c>
      <c r="Q193" s="25">
        <f t="shared" si="135"/>
        <v>0.60000600000000759</v>
      </c>
      <c r="R193" s="25">
        <f t="shared" si="153"/>
        <v>0.88857114285714345</v>
      </c>
      <c r="S193" s="25">
        <f t="shared" si="150"/>
        <v>73.51333425</v>
      </c>
      <c r="T193" s="20">
        <v>73.181138789270278</v>
      </c>
      <c r="U193" s="20">
        <v>0.43197337984091178</v>
      </c>
      <c r="V193" s="20">
        <v>0.37277754771085136</v>
      </c>
      <c r="W193" s="20">
        <v>5.9195832130060411E-2</v>
      </c>
    </row>
    <row r="194" spans="1:23" x14ac:dyDescent="0.35">
      <c r="A194" s="26">
        <v>42989</v>
      </c>
      <c r="B194" s="25">
        <v>74.309997999999993</v>
      </c>
      <c r="C194" s="25">
        <v>74.940002000000007</v>
      </c>
      <c r="D194" s="25">
        <v>74.309997999999993</v>
      </c>
      <c r="E194" s="25">
        <v>74.760002</v>
      </c>
      <c r="F194" s="25">
        <v>17910400</v>
      </c>
      <c r="G194" s="25">
        <v>74.386429000000007</v>
      </c>
      <c r="H194" s="19">
        <f t="shared" si="136"/>
        <v>1.0488272405438905E-2</v>
      </c>
      <c r="I194" s="27">
        <f t="shared" si="155"/>
        <v>0.1302389116460663</v>
      </c>
      <c r="J194" s="25">
        <f t="shared" si="137"/>
        <v>0.77999900000000366</v>
      </c>
      <c r="K194" s="25">
        <f t="shared" si="138"/>
        <v>0.77999900000000366</v>
      </c>
      <c r="L194" s="25">
        <f t="shared" si="139"/>
        <v>0</v>
      </c>
      <c r="M194" s="25">
        <f t="shared" ref="M194:N194" si="207">AVERAGE(K181:K194)</f>
        <v>0.34357071428571423</v>
      </c>
      <c r="N194" s="25">
        <f t="shared" si="207"/>
        <v>0.15714214285714284</v>
      </c>
      <c r="O194" s="25">
        <f t="shared" si="157"/>
        <v>2.1863690289501316</v>
      </c>
      <c r="P194" s="25">
        <f t="shared" si="158"/>
        <v>68.616315595764888</v>
      </c>
      <c r="Q194" s="25">
        <f t="shared" si="135"/>
        <v>0.63000400000001378</v>
      </c>
      <c r="R194" s="25">
        <f t="shared" si="153"/>
        <v>0.87785671428571577</v>
      </c>
      <c r="S194" s="25">
        <f t="shared" si="150"/>
        <v>73.683334333333335</v>
      </c>
      <c r="T194" s="20">
        <v>73.298091619694702</v>
      </c>
      <c r="U194" s="20">
        <v>0.49146513878399389</v>
      </c>
      <c r="V194" s="20">
        <v>0.39651506592547986</v>
      </c>
      <c r="W194" s="20">
        <v>9.4950072858514034E-2</v>
      </c>
    </row>
    <row r="195" spans="1:23" x14ac:dyDescent="0.35">
      <c r="A195" s="26">
        <v>42990</v>
      </c>
      <c r="B195" s="25">
        <v>74.760002</v>
      </c>
      <c r="C195" s="25">
        <v>75.239998</v>
      </c>
      <c r="D195" s="25">
        <v>74.370002999999997</v>
      </c>
      <c r="E195" s="25">
        <v>74.680000000000007</v>
      </c>
      <c r="F195" s="25">
        <v>14394900</v>
      </c>
      <c r="G195" s="25">
        <v>74.306824000000006</v>
      </c>
      <c r="H195" s="19">
        <f t="shared" si="136"/>
        <v>-1.0707279045851737E-3</v>
      </c>
      <c r="I195" s="27">
        <f t="shared" si="155"/>
        <v>0.1200052686548547</v>
      </c>
      <c r="J195" s="25">
        <f t="shared" si="137"/>
        <v>-8.0001999999993245E-2</v>
      </c>
      <c r="K195" s="25">
        <f t="shared" si="138"/>
        <v>0</v>
      </c>
      <c r="L195" s="25">
        <f t="shared" si="139"/>
        <v>8.0001999999993245E-2</v>
      </c>
      <c r="M195" s="25">
        <f t="shared" ref="M195:N195" si="208">AVERAGE(K182:K195)</f>
        <v>0.27142771428571422</v>
      </c>
      <c r="N195" s="25">
        <f t="shared" si="208"/>
        <v>0.16285657142857093</v>
      </c>
      <c r="O195" s="25">
        <f t="shared" si="157"/>
        <v>1.6666672514640448</v>
      </c>
      <c r="P195" s="25">
        <f t="shared" si="158"/>
        <v>62.500008223711326</v>
      </c>
      <c r="Q195" s="25">
        <f t="shared" ref="Q195:Q252" si="209">ABS(C195-D195)</f>
        <v>0.86999500000000296</v>
      </c>
      <c r="R195" s="25">
        <f t="shared" si="153"/>
        <v>0.87642778571428737</v>
      </c>
      <c r="S195" s="25">
        <f t="shared" si="150"/>
        <v>73.849167500000007</v>
      </c>
      <c r="T195" s="20">
        <v>73.400455203421018</v>
      </c>
      <c r="U195" s="20">
        <v>0.52609282298402604</v>
      </c>
      <c r="V195" s="20">
        <v>0.42243061733718912</v>
      </c>
      <c r="W195" s="20">
        <v>0.10366220564683692</v>
      </c>
    </row>
    <row r="196" spans="1:23" x14ac:dyDescent="0.35">
      <c r="A196" s="26">
        <v>42991</v>
      </c>
      <c r="B196" s="25">
        <v>74.930000000000007</v>
      </c>
      <c r="C196" s="25">
        <v>75.230002999999996</v>
      </c>
      <c r="D196" s="25">
        <v>74.550003000000004</v>
      </c>
      <c r="E196" s="25">
        <v>75.209998999999996</v>
      </c>
      <c r="F196" s="25">
        <v>13380800</v>
      </c>
      <c r="G196" s="25">
        <v>74.834175000000002</v>
      </c>
      <c r="H196" s="19">
        <f t="shared" ref="H196:H252" si="210">LN(G196/G195)</f>
        <v>7.071874284484748E-3</v>
      </c>
      <c r="I196" s="27">
        <f t="shared" si="155"/>
        <v>0.11696729397601137</v>
      </c>
      <c r="J196" s="25">
        <f t="shared" ref="J196:J252" si="211">E196-E195</f>
        <v>0.52999899999998945</v>
      </c>
      <c r="K196" s="25">
        <f t="shared" ref="K196:K252" si="212">IF(J196&gt;0,J196,0)</f>
        <v>0.52999899999998945</v>
      </c>
      <c r="L196" s="25">
        <f t="shared" ref="L196:L252" si="213">IF(J196&lt;0,ABS(J196),0)</f>
        <v>0</v>
      </c>
      <c r="M196" s="25">
        <f t="shared" ref="M196:N196" si="214">AVERAGE(K183:K196)</f>
        <v>0.30928478571428492</v>
      </c>
      <c r="N196" s="25">
        <f t="shared" si="214"/>
        <v>0.1314277857142849</v>
      </c>
      <c r="O196" s="25">
        <f t="shared" si="157"/>
        <v>2.3532678727970739</v>
      </c>
      <c r="P196" s="25">
        <f t="shared" si="158"/>
        <v>70.178344291776895</v>
      </c>
      <c r="Q196" s="25">
        <f t="shared" si="209"/>
        <v>0.67999999999999261</v>
      </c>
      <c r="R196" s="25">
        <f t="shared" si="153"/>
        <v>0.88071328571428709</v>
      </c>
      <c r="S196" s="25">
        <f t="shared" si="150"/>
        <v>74.048334083333344</v>
      </c>
      <c r="T196" s="20">
        <v>73.534495484649099</v>
      </c>
      <c r="U196" s="20">
        <v>0.58950653769362305</v>
      </c>
      <c r="V196" s="20">
        <v>0.45584580140847597</v>
      </c>
      <c r="W196" s="20">
        <v>0.13366073628514707</v>
      </c>
    </row>
    <row r="197" spans="1:23" x14ac:dyDescent="0.35">
      <c r="A197" s="26">
        <v>42992</v>
      </c>
      <c r="B197" s="25">
        <v>75</v>
      </c>
      <c r="C197" s="25">
        <v>75.489998</v>
      </c>
      <c r="D197" s="25">
        <v>74.519997000000004</v>
      </c>
      <c r="E197" s="25">
        <v>74.769997000000004</v>
      </c>
      <c r="F197" s="25">
        <v>15733900</v>
      </c>
      <c r="G197" s="25">
        <v>74.396370000000005</v>
      </c>
      <c r="H197" s="19">
        <f t="shared" si="210"/>
        <v>-5.8675153408064371E-3</v>
      </c>
      <c r="I197" s="27">
        <f t="shared" si="155"/>
        <v>0.12170780402682296</v>
      </c>
      <c r="J197" s="25">
        <f t="shared" si="211"/>
        <v>-0.44000199999999268</v>
      </c>
      <c r="K197" s="25">
        <f t="shared" si="212"/>
        <v>0</v>
      </c>
      <c r="L197" s="25">
        <f t="shared" si="213"/>
        <v>0.44000199999999268</v>
      </c>
      <c r="M197" s="25">
        <f t="shared" ref="M197:N197" si="215">AVERAGE(K184:K197)</f>
        <v>0.30928478571428492</v>
      </c>
      <c r="N197" s="25">
        <f t="shared" si="215"/>
        <v>0.16071371428571371</v>
      </c>
      <c r="O197" s="25">
        <f t="shared" si="157"/>
        <v>1.92444550913959</v>
      </c>
      <c r="P197" s="25">
        <f t="shared" si="158"/>
        <v>65.805483573731792</v>
      </c>
      <c r="Q197" s="25">
        <f t="shared" si="209"/>
        <v>0.97000099999999634</v>
      </c>
      <c r="R197" s="25">
        <f t="shared" si="153"/>
        <v>0.89357042857142943</v>
      </c>
      <c r="S197" s="25">
        <f t="shared" si="150"/>
        <v>74.210000333333326</v>
      </c>
      <c r="T197" s="20">
        <v>73.626014115415842</v>
      </c>
      <c r="U197" s="20">
        <v>0.59737174964338635</v>
      </c>
      <c r="V197" s="20">
        <v>0.48415099105545806</v>
      </c>
      <c r="W197" s="20">
        <v>0.11322075858792829</v>
      </c>
    </row>
    <row r="198" spans="1:23" x14ac:dyDescent="0.35">
      <c r="A198" s="26">
        <v>42993</v>
      </c>
      <c r="B198" s="25">
        <v>74.830001999999993</v>
      </c>
      <c r="C198" s="25">
        <v>75.389999000000003</v>
      </c>
      <c r="D198" s="25">
        <v>74.069999999999993</v>
      </c>
      <c r="E198" s="25">
        <v>75.309997999999993</v>
      </c>
      <c r="F198" s="25">
        <v>38578400</v>
      </c>
      <c r="G198" s="25">
        <v>74.933670000000006</v>
      </c>
      <c r="H198" s="19">
        <f t="shared" si="210"/>
        <v>7.1961718977165915E-3</v>
      </c>
      <c r="I198" s="27">
        <f t="shared" si="155"/>
        <v>0.12365917924392721</v>
      </c>
      <c r="J198" s="25">
        <f t="shared" si="211"/>
        <v>0.54000099999998952</v>
      </c>
      <c r="K198" s="25">
        <f t="shared" si="212"/>
        <v>0.54000099999998952</v>
      </c>
      <c r="L198" s="25">
        <f t="shared" si="213"/>
        <v>0</v>
      </c>
      <c r="M198" s="25">
        <f t="shared" ref="M198:N198" si="216">AVERAGE(K185:K198)</f>
        <v>0.33857071428571367</v>
      </c>
      <c r="N198" s="25">
        <f t="shared" si="216"/>
        <v>0.16071371428571371</v>
      </c>
      <c r="O198" s="25">
        <f t="shared" si="157"/>
        <v>2.1066697126034262</v>
      </c>
      <c r="P198" s="25">
        <f t="shared" si="158"/>
        <v>67.811190357857896</v>
      </c>
      <c r="Q198" s="25">
        <f t="shared" si="209"/>
        <v>1.3199990000000099</v>
      </c>
      <c r="R198" s="25">
        <f t="shared" si="153"/>
        <v>0.9257135714285728</v>
      </c>
      <c r="S198" s="25">
        <f t="shared" si="150"/>
        <v>74.398333249999993</v>
      </c>
      <c r="T198" s="20">
        <v>73.750753662422085</v>
      </c>
      <c r="U198" s="20">
        <v>0.63980330032033805</v>
      </c>
      <c r="V198" s="20">
        <v>0.51528145290843408</v>
      </c>
      <c r="W198" s="20">
        <v>0.12452184741190397</v>
      </c>
    </row>
    <row r="199" spans="1:23" x14ac:dyDescent="0.35">
      <c r="A199" s="26">
        <v>42996</v>
      </c>
      <c r="B199" s="25">
        <v>75.230002999999996</v>
      </c>
      <c r="C199" s="25">
        <v>75.970000999999996</v>
      </c>
      <c r="D199" s="25">
        <v>75.040001000000004</v>
      </c>
      <c r="E199" s="25">
        <v>75.160004000000001</v>
      </c>
      <c r="F199" s="25">
        <v>23307000</v>
      </c>
      <c r="G199" s="25">
        <v>74.784430999999998</v>
      </c>
      <c r="H199" s="19">
        <f t="shared" si="210"/>
        <v>-1.9936006191863544E-3</v>
      </c>
      <c r="I199" s="27">
        <f t="shared" si="155"/>
        <v>0.12474131002822712</v>
      </c>
      <c r="J199" s="25">
        <f t="shared" si="211"/>
        <v>-0.14999399999999241</v>
      </c>
      <c r="K199" s="25">
        <f t="shared" si="212"/>
        <v>0</v>
      </c>
      <c r="L199" s="25">
        <f t="shared" si="213"/>
        <v>0.14999399999999241</v>
      </c>
      <c r="M199" s="25">
        <f t="shared" ref="M199:N199" si="217">AVERAGE(K186:K199)</f>
        <v>0.33785628571428511</v>
      </c>
      <c r="N199" s="25">
        <f t="shared" si="217"/>
        <v>0.17142757142857029</v>
      </c>
      <c r="O199" s="25">
        <f t="shared" si="157"/>
        <v>1.9708398298990173</v>
      </c>
      <c r="P199" s="25">
        <f t="shared" si="158"/>
        <v>66.339484547910104</v>
      </c>
      <c r="Q199" s="25">
        <f t="shared" si="209"/>
        <v>0.92999999999999261</v>
      </c>
      <c r="R199" s="25">
        <f t="shared" si="153"/>
        <v>0.95357121428571545</v>
      </c>
      <c r="S199" s="25">
        <f t="shared" si="150"/>
        <v>74.494166750000005</v>
      </c>
      <c r="T199" s="20">
        <v>73.855142576316752</v>
      </c>
      <c r="U199" s="20">
        <v>0.65379085369606571</v>
      </c>
      <c r="V199" s="20">
        <v>0.54298333306596036</v>
      </c>
      <c r="W199" s="20">
        <v>0.11080752063010535</v>
      </c>
    </row>
    <row r="200" spans="1:23" x14ac:dyDescent="0.35">
      <c r="A200" s="26">
        <v>42997</v>
      </c>
      <c r="B200" s="25">
        <v>75.209998999999996</v>
      </c>
      <c r="C200" s="25">
        <v>75.709998999999996</v>
      </c>
      <c r="D200" s="25">
        <v>75.010002</v>
      </c>
      <c r="E200" s="25">
        <v>75.440002000000007</v>
      </c>
      <c r="F200" s="25">
        <v>16093300</v>
      </c>
      <c r="G200" s="25">
        <v>75.063025999999994</v>
      </c>
      <c r="H200" s="19">
        <f t="shared" si="210"/>
        <v>3.7183857046956389E-3</v>
      </c>
      <c r="I200" s="27">
        <f t="shared" si="155"/>
        <v>0.12486050098285915</v>
      </c>
      <c r="J200" s="25">
        <f t="shared" si="211"/>
        <v>0.27999800000000619</v>
      </c>
      <c r="K200" s="25">
        <f t="shared" si="212"/>
        <v>0.27999800000000619</v>
      </c>
      <c r="L200" s="25">
        <f t="shared" si="213"/>
        <v>0</v>
      </c>
      <c r="M200" s="25">
        <f t="shared" ref="M200:N200" si="218">AVERAGE(K187:K200)</f>
        <v>0.34214178571428483</v>
      </c>
      <c r="N200" s="25">
        <f t="shared" si="218"/>
        <v>0.17142757142857029</v>
      </c>
      <c r="O200" s="25">
        <f t="shared" si="157"/>
        <v>1.9958387257259083</v>
      </c>
      <c r="P200" s="25">
        <f t="shared" si="158"/>
        <v>66.620366062672673</v>
      </c>
      <c r="Q200" s="25">
        <f t="shared" si="209"/>
        <v>0.69999699999999621</v>
      </c>
      <c r="R200" s="25">
        <f t="shared" si="153"/>
        <v>0.92428521428571542</v>
      </c>
      <c r="S200" s="25">
        <f t="shared" si="150"/>
        <v>74.550000499999996</v>
      </c>
      <c r="T200" s="20">
        <v>73.972539570663656</v>
      </c>
      <c r="U200" s="20">
        <v>0.67963517780873417</v>
      </c>
      <c r="V200" s="20">
        <v>0.57031370201451514</v>
      </c>
      <c r="W200" s="20">
        <v>0.10932147579421903</v>
      </c>
    </row>
    <row r="201" spans="1:23" x14ac:dyDescent="0.35">
      <c r="A201" s="26">
        <v>42998</v>
      </c>
      <c r="B201" s="25">
        <v>75.349997999999999</v>
      </c>
      <c r="C201" s="25">
        <v>75.550003000000004</v>
      </c>
      <c r="D201" s="25">
        <v>74.309997999999993</v>
      </c>
      <c r="E201" s="25">
        <v>74.940002000000007</v>
      </c>
      <c r="F201" s="25">
        <v>21587900</v>
      </c>
      <c r="G201" s="25">
        <v>74.565528999999998</v>
      </c>
      <c r="H201" s="19">
        <f t="shared" si="210"/>
        <v>-6.6497846385001171E-3</v>
      </c>
      <c r="I201" s="27">
        <f t="shared" si="155"/>
        <v>0.11984214871525697</v>
      </c>
      <c r="J201" s="25">
        <f t="shared" si="211"/>
        <v>-0.5</v>
      </c>
      <c r="K201" s="25">
        <f t="shared" si="212"/>
        <v>0</v>
      </c>
      <c r="L201" s="25">
        <f t="shared" si="213"/>
        <v>0.5</v>
      </c>
      <c r="M201" s="25">
        <f t="shared" ref="M201:N201" si="219">AVERAGE(K188:K201)</f>
        <v>0.27357042857142794</v>
      </c>
      <c r="N201" s="25">
        <f t="shared" si="219"/>
        <v>0.20714185714285602</v>
      </c>
      <c r="O201" s="25">
        <f t="shared" si="157"/>
        <v>1.3206912033368479</v>
      </c>
      <c r="P201" s="25">
        <f t="shared" si="158"/>
        <v>56.909389816183563</v>
      </c>
      <c r="Q201" s="25">
        <f t="shared" si="209"/>
        <v>1.2400050000000107</v>
      </c>
      <c r="R201" s="25">
        <f t="shared" si="153"/>
        <v>0.91428578571428731</v>
      </c>
      <c r="S201" s="25">
        <f t="shared" si="150"/>
        <v>74.633333833333339</v>
      </c>
      <c r="T201" s="20">
        <v>74.044203454318193</v>
      </c>
      <c r="U201" s="20">
        <v>0.65225240977383692</v>
      </c>
      <c r="V201" s="20">
        <v>0.58670144356637954</v>
      </c>
      <c r="W201" s="20">
        <v>6.5550966207457373E-2</v>
      </c>
    </row>
    <row r="202" spans="1:23" x14ac:dyDescent="0.35">
      <c r="A202" s="26">
        <v>42999</v>
      </c>
      <c r="B202" s="25">
        <v>75.110000999999997</v>
      </c>
      <c r="C202" s="25">
        <v>75.239998</v>
      </c>
      <c r="D202" s="25">
        <v>74.110000999999997</v>
      </c>
      <c r="E202" s="25">
        <v>74.209998999999996</v>
      </c>
      <c r="F202" s="25">
        <v>19186100</v>
      </c>
      <c r="G202" s="25">
        <v>73.839172000000005</v>
      </c>
      <c r="H202" s="19">
        <f t="shared" si="210"/>
        <v>-9.7889459736320156E-3</v>
      </c>
      <c r="I202" s="27">
        <f t="shared" si="155"/>
        <v>0.11972481495496055</v>
      </c>
      <c r="J202" s="25">
        <f t="shared" si="211"/>
        <v>-0.73000300000001062</v>
      </c>
      <c r="K202" s="25">
        <f t="shared" si="212"/>
        <v>0</v>
      </c>
      <c r="L202" s="25">
        <f t="shared" si="213"/>
        <v>0.73000300000001062</v>
      </c>
      <c r="M202" s="25">
        <f t="shared" ref="M202:N202" si="220">AVERAGE(K189:K202)</f>
        <v>0.21928507142857054</v>
      </c>
      <c r="N202" s="25">
        <f t="shared" si="220"/>
        <v>0.25928492857142821</v>
      </c>
      <c r="O202" s="25">
        <f t="shared" si="157"/>
        <v>0.84573011102788243</v>
      </c>
      <c r="P202" s="25">
        <f t="shared" si="158"/>
        <v>45.820897972829705</v>
      </c>
      <c r="Q202" s="25">
        <f t="shared" si="209"/>
        <v>1.129997000000003</v>
      </c>
      <c r="R202" s="25">
        <f t="shared" si="153"/>
        <v>0.91214300000000237</v>
      </c>
      <c r="S202" s="25">
        <f t="shared" si="150"/>
        <v>74.68333366666667</v>
      </c>
      <c r="T202" s="20">
        <v>74.056484605850187</v>
      </c>
      <c r="U202" s="20">
        <v>0.56513174068922467</v>
      </c>
      <c r="V202" s="20">
        <v>0.58238750299094855</v>
      </c>
      <c r="W202" s="20">
        <v>-1.7255762301723876E-2</v>
      </c>
    </row>
    <row r="203" spans="1:23" x14ac:dyDescent="0.35">
      <c r="A203" s="26">
        <v>43000</v>
      </c>
      <c r="B203" s="25">
        <v>73.989998</v>
      </c>
      <c r="C203" s="25">
        <v>74.510002</v>
      </c>
      <c r="D203" s="25">
        <v>73.849997999999999</v>
      </c>
      <c r="E203" s="25">
        <v>74.410004000000001</v>
      </c>
      <c r="F203" s="25">
        <v>14111400</v>
      </c>
      <c r="G203" s="25">
        <v>74.038177000000005</v>
      </c>
      <c r="H203" s="19">
        <f t="shared" si="210"/>
        <v>2.6914888788618844E-3</v>
      </c>
      <c r="I203" s="27">
        <f t="shared" si="155"/>
        <v>0.10991676578439172</v>
      </c>
      <c r="J203" s="25">
        <f t="shared" si="211"/>
        <v>0.20000500000000443</v>
      </c>
      <c r="K203" s="25">
        <f t="shared" si="212"/>
        <v>0.20000500000000443</v>
      </c>
      <c r="L203" s="25">
        <f t="shared" si="213"/>
        <v>0</v>
      </c>
      <c r="M203" s="25">
        <f t="shared" ref="M203:N203" si="221">AVERAGE(K190:K203)</f>
        <v>0.23357114285714228</v>
      </c>
      <c r="N203" s="25">
        <f t="shared" si="221"/>
        <v>0.1999995714285713</v>
      </c>
      <c r="O203" s="25">
        <f t="shared" si="157"/>
        <v>1.1678582168390339</v>
      </c>
      <c r="P203" s="25">
        <f t="shared" si="158"/>
        <v>53.871522028866551</v>
      </c>
      <c r="Q203" s="25">
        <f t="shared" si="209"/>
        <v>0.6600040000000007</v>
      </c>
      <c r="R203" s="25">
        <f t="shared" si="153"/>
        <v>0.88071478571428841</v>
      </c>
      <c r="S203" s="25">
        <f t="shared" si="150"/>
        <v>74.767500499999997</v>
      </c>
      <c r="T203" s="20">
        <v>74.082671227639068</v>
      </c>
      <c r="U203" s="20">
        <v>0.50638937327889266</v>
      </c>
      <c r="V203" s="20">
        <v>0.56718787704853746</v>
      </c>
      <c r="W203" s="20">
        <v>-6.0798503769644796E-2</v>
      </c>
    </row>
    <row r="204" spans="1:23" x14ac:dyDescent="0.35">
      <c r="A204" s="26">
        <v>43003</v>
      </c>
      <c r="B204" s="25">
        <v>74.089995999999999</v>
      </c>
      <c r="C204" s="25">
        <v>74.25</v>
      </c>
      <c r="D204" s="25">
        <v>72.919998000000007</v>
      </c>
      <c r="E204" s="25">
        <v>73.260002</v>
      </c>
      <c r="F204" s="25">
        <v>24149200</v>
      </c>
      <c r="G204" s="25">
        <v>72.893921000000006</v>
      </c>
      <c r="H204" s="19">
        <f t="shared" si="210"/>
        <v>-1.5575618241529483E-2</v>
      </c>
      <c r="I204" s="27">
        <f t="shared" si="155"/>
        <v>0.12814319717254399</v>
      </c>
      <c r="J204" s="25">
        <f t="shared" si="211"/>
        <v>-1.1500020000000006</v>
      </c>
      <c r="K204" s="25">
        <f t="shared" si="212"/>
        <v>0</v>
      </c>
      <c r="L204" s="25">
        <f t="shared" si="213"/>
        <v>1.1500020000000006</v>
      </c>
      <c r="M204" s="25">
        <f t="shared" ref="M204:N204" si="222">AVERAGE(K191:K204)</f>
        <v>0.23357114285714228</v>
      </c>
      <c r="N204" s="25">
        <f t="shared" si="222"/>
        <v>0.25857107142857061</v>
      </c>
      <c r="O204" s="25">
        <f t="shared" si="157"/>
        <v>0.90331505982743132</v>
      </c>
      <c r="P204" s="25">
        <f t="shared" si="158"/>
        <v>47.460091021889596</v>
      </c>
      <c r="Q204" s="25">
        <f t="shared" si="209"/>
        <v>1.3300019999999932</v>
      </c>
      <c r="R204" s="25">
        <f t="shared" si="153"/>
        <v>0.910715214285716</v>
      </c>
      <c r="S204" s="25">
        <f t="shared" si="150"/>
        <v>74.677501000000007</v>
      </c>
      <c r="T204" s="20">
        <v>74.021732766332462</v>
      </c>
      <c r="U204" s="20">
        <v>0.36285728059812072</v>
      </c>
      <c r="V204" s="20">
        <v>0.52632175775845413</v>
      </c>
      <c r="W204" s="20">
        <v>-0.16346447716033341</v>
      </c>
    </row>
    <row r="205" spans="1:23" x14ac:dyDescent="0.35">
      <c r="A205" s="26">
        <v>43004</v>
      </c>
      <c r="B205" s="25">
        <v>73.669998000000007</v>
      </c>
      <c r="C205" s="25">
        <v>73.809997999999993</v>
      </c>
      <c r="D205" s="25">
        <v>72.989998</v>
      </c>
      <c r="E205" s="25">
        <v>73.260002</v>
      </c>
      <c r="F205" s="25">
        <v>18019600</v>
      </c>
      <c r="G205" s="25">
        <v>72.893921000000006</v>
      </c>
      <c r="H205" s="19">
        <f t="shared" si="210"/>
        <v>0</v>
      </c>
      <c r="I205" s="27">
        <f t="shared" si="155"/>
        <v>0.127627817096051</v>
      </c>
      <c r="J205" s="25">
        <f t="shared" si="211"/>
        <v>0</v>
      </c>
      <c r="K205" s="25">
        <f t="shared" si="212"/>
        <v>0</v>
      </c>
      <c r="L205" s="25">
        <f t="shared" si="213"/>
        <v>0</v>
      </c>
      <c r="M205" s="25">
        <f t="shared" ref="M205:N205" si="223">AVERAGE(K192:K205)</f>
        <v>0.23357114285714228</v>
      </c>
      <c r="N205" s="25">
        <f t="shared" si="223"/>
        <v>0.24357114285714232</v>
      </c>
      <c r="O205" s="25">
        <f t="shared" si="157"/>
        <v>0.95894423336566936</v>
      </c>
      <c r="P205" s="25">
        <f t="shared" si="158"/>
        <v>48.952094553406639</v>
      </c>
      <c r="Q205" s="25">
        <f t="shared" si="209"/>
        <v>0.81999999999999318</v>
      </c>
      <c r="R205" s="25">
        <f t="shared" si="153"/>
        <v>0.92000071428571517</v>
      </c>
      <c r="S205" s="25">
        <f t="shared" ref="S205:S252" si="224">AVERAGE(E194:E205)</f>
        <v>74.617500916666671</v>
      </c>
      <c r="T205" s="20">
        <v>73.965308265122644</v>
      </c>
      <c r="U205" s="20">
        <v>0.24626823612631199</v>
      </c>
      <c r="V205" s="20">
        <v>0.47031105343202573</v>
      </c>
      <c r="W205" s="20">
        <v>-0.22404281730571374</v>
      </c>
    </row>
    <row r="206" spans="1:23" x14ac:dyDescent="0.35">
      <c r="A206" s="26">
        <v>43005</v>
      </c>
      <c r="B206" s="25">
        <v>73.550003000000004</v>
      </c>
      <c r="C206" s="25">
        <v>74.169998000000007</v>
      </c>
      <c r="D206" s="25">
        <v>73.169998000000007</v>
      </c>
      <c r="E206" s="25">
        <v>73.849997999999999</v>
      </c>
      <c r="F206" s="25">
        <v>19565100</v>
      </c>
      <c r="G206" s="25">
        <v>73.480971999999994</v>
      </c>
      <c r="H206" s="19">
        <f t="shared" si="210"/>
        <v>8.0212410141052119E-3</v>
      </c>
      <c r="I206" s="27">
        <f t="shared" si="155"/>
        <v>0.11975635290380306</v>
      </c>
      <c r="J206" s="25">
        <f t="shared" si="211"/>
        <v>0.5899959999999993</v>
      </c>
      <c r="K206" s="25">
        <f t="shared" si="212"/>
        <v>0.5899959999999993</v>
      </c>
      <c r="L206" s="25">
        <f t="shared" si="213"/>
        <v>0</v>
      </c>
      <c r="M206" s="25">
        <f t="shared" ref="M206:N206" si="225">AVERAGE(K193:K206)</f>
        <v>0.20857128571428518</v>
      </c>
      <c r="N206" s="25">
        <f t="shared" si="225"/>
        <v>0.24357114285714232</v>
      </c>
      <c r="O206" s="25">
        <f t="shared" si="157"/>
        <v>0.8563054032907953</v>
      </c>
      <c r="P206" s="25">
        <f t="shared" si="158"/>
        <v>46.129553993258121</v>
      </c>
      <c r="Q206" s="25">
        <f t="shared" si="209"/>
        <v>1</v>
      </c>
      <c r="R206" s="25">
        <f t="shared" si="153"/>
        <v>0.92000071428571517</v>
      </c>
      <c r="S206" s="25">
        <f t="shared" si="224"/>
        <v>74.541667250000003</v>
      </c>
      <c r="T206" s="20">
        <v>73.956766764002452</v>
      </c>
      <c r="U206" s="20">
        <v>0.19918227551589496</v>
      </c>
      <c r="V206" s="20">
        <v>0.41608529784879961</v>
      </c>
      <c r="W206" s="20">
        <v>-0.21690302233290465</v>
      </c>
    </row>
    <row r="207" spans="1:23" x14ac:dyDescent="0.35">
      <c r="A207" s="26">
        <v>43006</v>
      </c>
      <c r="B207" s="25">
        <v>73.540001000000004</v>
      </c>
      <c r="C207" s="25">
        <v>73.970000999999996</v>
      </c>
      <c r="D207" s="25">
        <v>73.309997999999993</v>
      </c>
      <c r="E207" s="25">
        <v>73.870002999999997</v>
      </c>
      <c r="F207" s="25">
        <v>10883800</v>
      </c>
      <c r="G207" s="25">
        <v>73.500870000000006</v>
      </c>
      <c r="H207" s="19">
        <f t="shared" si="210"/>
        <v>2.707545347209825E-4</v>
      </c>
      <c r="I207" s="27">
        <f t="shared" si="155"/>
        <v>0.11808343550266928</v>
      </c>
      <c r="J207" s="25">
        <f t="shared" si="211"/>
        <v>2.0004999999997608E-2</v>
      </c>
      <c r="K207" s="25">
        <f t="shared" si="212"/>
        <v>2.0004999999997608E-2</v>
      </c>
      <c r="L207" s="25">
        <f t="shared" si="213"/>
        <v>0</v>
      </c>
      <c r="M207" s="25">
        <f t="shared" ref="M207:N207" si="226">AVERAGE(K194:K207)</f>
        <v>0.21000021428571358</v>
      </c>
      <c r="N207" s="25">
        <f t="shared" si="226"/>
        <v>0.21785735714285639</v>
      </c>
      <c r="O207" s="25">
        <f t="shared" si="157"/>
        <v>0.96393446170380825</v>
      </c>
      <c r="P207" s="25">
        <f t="shared" si="158"/>
        <v>49.081803924737301</v>
      </c>
      <c r="Q207" s="25">
        <f t="shared" si="209"/>
        <v>0.66000300000000323</v>
      </c>
      <c r="R207" s="25">
        <f t="shared" ref="R207:R252" si="227">AVERAGE(Q194:Q207)</f>
        <v>0.92428621428571489</v>
      </c>
      <c r="S207" s="25">
        <f t="shared" si="224"/>
        <v>74.474167499999993</v>
      </c>
      <c r="T207" s="20">
        <v>73.950339818520789</v>
      </c>
      <c r="U207" s="20">
        <v>0.16161752261011486</v>
      </c>
      <c r="V207" s="20">
        <v>0.3651917428010627</v>
      </c>
      <c r="W207" s="20">
        <v>-0.20357422019094784</v>
      </c>
    </row>
    <row r="208" spans="1:23" x14ac:dyDescent="0.35">
      <c r="A208" s="26">
        <v>43007</v>
      </c>
      <c r="B208" s="25">
        <v>73.940002000000007</v>
      </c>
      <c r="C208" s="25">
        <v>74.540001000000004</v>
      </c>
      <c r="D208" s="25">
        <v>73.879997000000003</v>
      </c>
      <c r="E208" s="25">
        <v>74.489998</v>
      </c>
      <c r="F208" s="25">
        <v>17079100</v>
      </c>
      <c r="G208" s="25">
        <v>74.117767000000001</v>
      </c>
      <c r="H208" s="19">
        <f t="shared" si="210"/>
        <v>8.3580312585350633E-3</v>
      </c>
      <c r="I208" s="27">
        <f t="shared" si="155"/>
        <v>0.11467518933553439</v>
      </c>
      <c r="J208" s="25">
        <f t="shared" si="211"/>
        <v>0.61999500000000296</v>
      </c>
      <c r="K208" s="25">
        <f t="shared" si="212"/>
        <v>0.61999500000000296</v>
      </c>
      <c r="L208" s="25">
        <f t="shared" si="213"/>
        <v>0</v>
      </c>
      <c r="M208" s="25">
        <f t="shared" ref="M208:N208" si="228">AVERAGE(K195:K208)</f>
        <v>0.1985713571428564</v>
      </c>
      <c r="N208" s="25">
        <f t="shared" si="228"/>
        <v>0.21785735714285639</v>
      </c>
      <c r="O208" s="25">
        <f t="shared" si="157"/>
        <v>0.91147418543522718</v>
      </c>
      <c r="P208" s="25">
        <f t="shared" si="158"/>
        <v>47.68435756968865</v>
      </c>
      <c r="Q208" s="25">
        <f t="shared" si="209"/>
        <v>0.6600040000000007</v>
      </c>
      <c r="R208" s="25">
        <f t="shared" si="227"/>
        <v>0.92642907142857112</v>
      </c>
      <c r="S208" s="25">
        <f t="shared" si="224"/>
        <v>74.414167416666672</v>
      </c>
      <c r="T208" s="20">
        <v>73.990314498630369</v>
      </c>
      <c r="U208" s="20">
        <v>0.17980294386501328</v>
      </c>
      <c r="V208" s="20">
        <v>0.32811398301385286</v>
      </c>
      <c r="W208" s="20">
        <v>-0.14831103914883959</v>
      </c>
    </row>
    <row r="209" spans="1:23" x14ac:dyDescent="0.35">
      <c r="A209" s="26">
        <v>43010</v>
      </c>
      <c r="B209" s="25">
        <v>74.709998999999996</v>
      </c>
      <c r="C209" s="25">
        <v>75.010002</v>
      </c>
      <c r="D209" s="25">
        <v>74.300003000000004</v>
      </c>
      <c r="E209" s="25">
        <v>74.610000999999997</v>
      </c>
      <c r="F209" s="25">
        <v>15304800</v>
      </c>
      <c r="G209" s="25">
        <v>74.237174999999993</v>
      </c>
      <c r="H209" s="19">
        <f t="shared" si="210"/>
        <v>1.6097613490417397E-3</v>
      </c>
      <c r="I209" s="27">
        <f t="shared" ref="I209:I252" si="229">STDEV(H196:H209)*SQRT(252)</f>
        <v>0.11487086975485143</v>
      </c>
      <c r="J209" s="25">
        <f t="shared" si="211"/>
        <v>0.12000299999999697</v>
      </c>
      <c r="K209" s="25">
        <f t="shared" si="212"/>
        <v>0.12000299999999697</v>
      </c>
      <c r="L209" s="25">
        <f t="shared" si="213"/>
        <v>0</v>
      </c>
      <c r="M209" s="25">
        <f t="shared" ref="M209:N209" si="230">AVERAGE(K196:K209)</f>
        <v>0.20714299999999902</v>
      </c>
      <c r="N209" s="25">
        <f t="shared" si="230"/>
        <v>0.2121429285714283</v>
      </c>
      <c r="O209" s="25">
        <f t="shared" ref="O209:O252" si="231">M209/N209</f>
        <v>0.9764313210668919</v>
      </c>
      <c r="P209" s="25">
        <f t="shared" ref="P209:P252" si="232">IF(N209=0,100,100-(100/(1+O209)))</f>
        <v>49.403756693139599</v>
      </c>
      <c r="Q209" s="25">
        <f t="shared" si="209"/>
        <v>0.70999899999999627</v>
      </c>
      <c r="R209" s="25">
        <f t="shared" si="227"/>
        <v>0.91500078571428489</v>
      </c>
      <c r="S209" s="25">
        <f t="shared" si="224"/>
        <v>74.400834416666669</v>
      </c>
      <c r="T209" s="20">
        <v>74.036217202435523</v>
      </c>
      <c r="U209" s="20">
        <v>0.2015746335221138</v>
      </c>
      <c r="V209" s="20">
        <v>0.30280611311550509</v>
      </c>
      <c r="W209" s="20">
        <v>-0.10123147959339129</v>
      </c>
    </row>
    <row r="210" spans="1:23" x14ac:dyDescent="0.35">
      <c r="A210" s="26">
        <v>43011</v>
      </c>
      <c r="B210" s="25">
        <v>74.669998000000007</v>
      </c>
      <c r="C210" s="25">
        <v>74.879997000000003</v>
      </c>
      <c r="D210" s="25">
        <v>74.190002000000007</v>
      </c>
      <c r="E210" s="25">
        <v>74.260002</v>
      </c>
      <c r="F210" s="25">
        <v>12190400</v>
      </c>
      <c r="G210" s="25">
        <v>73.888924000000003</v>
      </c>
      <c r="H210" s="19">
        <f t="shared" si="210"/>
        <v>-4.7020969835164994E-3</v>
      </c>
      <c r="I210" s="27">
        <f t="shared" si="229"/>
        <v>0.11149858098831258</v>
      </c>
      <c r="J210" s="25">
        <f t="shared" si="211"/>
        <v>-0.34999899999999684</v>
      </c>
      <c r="K210" s="25">
        <f t="shared" si="212"/>
        <v>0</v>
      </c>
      <c r="L210" s="25">
        <f t="shared" si="213"/>
        <v>0.34999899999999684</v>
      </c>
      <c r="M210" s="25">
        <f t="shared" ref="M210:N210" si="233">AVERAGE(K197:K210)</f>
        <v>0.16928592857142835</v>
      </c>
      <c r="N210" s="25">
        <f t="shared" si="233"/>
        <v>0.23714285714285666</v>
      </c>
      <c r="O210" s="25">
        <f t="shared" si="231"/>
        <v>0.71385632530120535</v>
      </c>
      <c r="P210" s="25">
        <f t="shared" si="232"/>
        <v>41.652051853048249</v>
      </c>
      <c r="Q210" s="25">
        <f t="shared" si="209"/>
        <v>0.68999499999999614</v>
      </c>
      <c r="R210" s="25">
        <f t="shared" si="227"/>
        <v>0.91571471428571372</v>
      </c>
      <c r="S210" s="25">
        <f t="shared" si="224"/>
        <v>74.31333475000001</v>
      </c>
      <c r="T210" s="20">
        <v>74.052793854106966</v>
      </c>
      <c r="U210" s="20">
        <v>0.18841493016488187</v>
      </c>
      <c r="V210" s="20">
        <v>0.27992787652538043</v>
      </c>
      <c r="W210" s="20">
        <v>-9.1512946360498559E-2</v>
      </c>
    </row>
    <row r="211" spans="1:23" x14ac:dyDescent="0.35">
      <c r="A211" s="26">
        <v>43012</v>
      </c>
      <c r="B211" s="25">
        <v>74.089995999999999</v>
      </c>
      <c r="C211" s="25">
        <v>74.720000999999996</v>
      </c>
      <c r="D211" s="25">
        <v>73.709998999999996</v>
      </c>
      <c r="E211" s="25">
        <v>74.690002000000007</v>
      </c>
      <c r="F211" s="25">
        <v>13317700</v>
      </c>
      <c r="G211" s="25">
        <v>74.316772</v>
      </c>
      <c r="H211" s="19">
        <f t="shared" si="210"/>
        <v>5.7737212550316962E-3</v>
      </c>
      <c r="I211" s="27">
        <f t="shared" si="229"/>
        <v>0.11239625637038618</v>
      </c>
      <c r="J211" s="25">
        <f t="shared" si="211"/>
        <v>0.43000000000000682</v>
      </c>
      <c r="K211" s="25">
        <f t="shared" si="212"/>
        <v>0.43000000000000682</v>
      </c>
      <c r="L211" s="25">
        <f t="shared" si="213"/>
        <v>0</v>
      </c>
      <c r="M211" s="25">
        <f t="shared" ref="M211:N211" si="234">AVERAGE(K198:K211)</f>
        <v>0.20000021428571454</v>
      </c>
      <c r="N211" s="25">
        <f t="shared" si="234"/>
        <v>0.2057141428571429</v>
      </c>
      <c r="O211" s="25">
        <f t="shared" si="231"/>
        <v>0.97222393904440318</v>
      </c>
      <c r="P211" s="25">
        <f t="shared" si="232"/>
        <v>49.295818785947425</v>
      </c>
      <c r="Q211" s="25">
        <f t="shared" si="209"/>
        <v>1.0100020000000001</v>
      </c>
      <c r="R211" s="25">
        <f t="shared" si="227"/>
        <v>0.91857192857142833</v>
      </c>
      <c r="S211" s="25">
        <f t="shared" si="224"/>
        <v>74.27416791666667</v>
      </c>
      <c r="T211" s="20">
        <v>74.099994457506455</v>
      </c>
      <c r="U211" s="20">
        <v>0.21025943687742199</v>
      </c>
      <c r="V211" s="20">
        <v>0.26599418859578872</v>
      </c>
      <c r="W211" s="20">
        <v>-5.5734751718366726E-2</v>
      </c>
    </row>
    <row r="212" spans="1:23" x14ac:dyDescent="0.35">
      <c r="A212" s="26">
        <v>43013</v>
      </c>
      <c r="B212" s="25">
        <v>75.220000999999996</v>
      </c>
      <c r="C212" s="25">
        <v>76.120002999999997</v>
      </c>
      <c r="D212" s="25">
        <v>74.959998999999996</v>
      </c>
      <c r="E212" s="25">
        <v>75.970000999999996</v>
      </c>
      <c r="F212" s="25">
        <v>21195300</v>
      </c>
      <c r="G212" s="25">
        <v>75.590378000000001</v>
      </c>
      <c r="H212" s="19">
        <f t="shared" si="210"/>
        <v>1.6992340190521628E-2</v>
      </c>
      <c r="I212" s="27">
        <f t="shared" si="229"/>
        <v>0.13085243774497382</v>
      </c>
      <c r="J212" s="25">
        <f t="shared" si="211"/>
        <v>1.2799989999999895</v>
      </c>
      <c r="K212" s="25">
        <f t="shared" si="212"/>
        <v>1.2799989999999895</v>
      </c>
      <c r="L212" s="25">
        <f t="shared" si="213"/>
        <v>0</v>
      </c>
      <c r="M212" s="25">
        <f t="shared" ref="M212:N212" si="235">AVERAGE(K199:K212)</f>
        <v>0.25285721428571456</v>
      </c>
      <c r="N212" s="25">
        <f t="shared" si="235"/>
        <v>0.2057141428571429</v>
      </c>
      <c r="O212" s="25">
        <f t="shared" si="231"/>
        <v>1.2291678674776869</v>
      </c>
      <c r="P212" s="25">
        <f t="shared" si="232"/>
        <v>55.14021108102979</v>
      </c>
      <c r="Q212" s="25">
        <f t="shared" si="209"/>
        <v>1.1600040000000007</v>
      </c>
      <c r="R212" s="25">
        <f t="shared" si="227"/>
        <v>0.90714371428571339</v>
      </c>
      <c r="S212" s="25">
        <f t="shared" si="224"/>
        <v>74.318334500000006</v>
      </c>
      <c r="T212" s="20">
        <v>74.238513460654133</v>
      </c>
      <c r="U212" s="20">
        <v>0.32708614228607757</v>
      </c>
      <c r="V212" s="20">
        <v>0.27821257933384652</v>
      </c>
      <c r="W212" s="20">
        <v>4.8873562952231053E-2</v>
      </c>
    </row>
    <row r="213" spans="1:23" x14ac:dyDescent="0.35">
      <c r="A213" s="26">
        <v>43014</v>
      </c>
      <c r="B213" s="25">
        <v>75.669998000000007</v>
      </c>
      <c r="C213" s="25">
        <v>76.029999000000004</v>
      </c>
      <c r="D213" s="25">
        <v>75.540001000000004</v>
      </c>
      <c r="E213" s="25">
        <v>76</v>
      </c>
      <c r="F213" s="25">
        <v>13959800</v>
      </c>
      <c r="G213" s="25">
        <v>75.620223999999993</v>
      </c>
      <c r="H213" s="19">
        <f t="shared" si="210"/>
        <v>3.9476068467180522E-4</v>
      </c>
      <c r="I213" s="27">
        <f t="shared" si="229"/>
        <v>0.13031780017285766</v>
      </c>
      <c r="J213" s="25">
        <f t="shared" si="211"/>
        <v>2.9999000000003662E-2</v>
      </c>
      <c r="K213" s="25">
        <f t="shared" si="212"/>
        <v>2.9999000000003662E-2</v>
      </c>
      <c r="L213" s="25">
        <f t="shared" si="213"/>
        <v>0</v>
      </c>
      <c r="M213" s="25">
        <f t="shared" ref="M213:N213" si="236">AVERAGE(K200:K213)</f>
        <v>0.2550000000000005</v>
      </c>
      <c r="N213" s="25">
        <f t="shared" si="236"/>
        <v>0.19500028571428629</v>
      </c>
      <c r="O213" s="25">
        <f t="shared" si="231"/>
        <v>1.3076903916624285</v>
      </c>
      <c r="P213" s="25">
        <f t="shared" si="232"/>
        <v>56.666630687853512</v>
      </c>
      <c r="Q213" s="25">
        <f t="shared" si="209"/>
        <v>0.48999799999999993</v>
      </c>
      <c r="R213" s="25">
        <f t="shared" si="227"/>
        <v>0.87571499999999958</v>
      </c>
      <c r="S213" s="25">
        <f t="shared" si="224"/>
        <v>74.406667666666678</v>
      </c>
      <c r="T213" s="20">
        <v>74.368993945050121</v>
      </c>
      <c r="U213" s="20">
        <v>0.41728264205313792</v>
      </c>
      <c r="V213" s="20">
        <v>0.30602659187770481</v>
      </c>
      <c r="W213" s="20">
        <v>0.11125605017543311</v>
      </c>
    </row>
    <row r="214" spans="1:23" x14ac:dyDescent="0.35">
      <c r="A214" s="26">
        <v>43017</v>
      </c>
      <c r="B214" s="25">
        <v>75.970000999999996</v>
      </c>
      <c r="C214" s="25">
        <v>76.550003000000004</v>
      </c>
      <c r="D214" s="25">
        <v>75.860000999999997</v>
      </c>
      <c r="E214" s="25">
        <v>76.290001000000004</v>
      </c>
      <c r="F214" s="25">
        <v>11386500</v>
      </c>
      <c r="G214" s="25">
        <v>75.908775000000006</v>
      </c>
      <c r="H214" s="19">
        <f t="shared" si="210"/>
        <v>3.8085297294613981E-3</v>
      </c>
      <c r="I214" s="27">
        <f t="shared" si="229"/>
        <v>0.13035756972259877</v>
      </c>
      <c r="J214" s="25">
        <f t="shared" si="211"/>
        <v>0.29000100000000373</v>
      </c>
      <c r="K214" s="25">
        <f t="shared" si="212"/>
        <v>0.29000100000000373</v>
      </c>
      <c r="L214" s="25">
        <f t="shared" si="213"/>
        <v>0</v>
      </c>
      <c r="M214" s="25">
        <f t="shared" ref="M214:N214" si="237">AVERAGE(K201:K214)</f>
        <v>0.25571450000000034</v>
      </c>
      <c r="N214" s="25">
        <f t="shared" si="237"/>
        <v>0.19500028571428629</v>
      </c>
      <c r="O214" s="25">
        <f t="shared" si="231"/>
        <v>1.3113544888578896</v>
      </c>
      <c r="P214" s="25">
        <f t="shared" si="232"/>
        <v>56.735325333236517</v>
      </c>
      <c r="Q214" s="25">
        <f t="shared" si="209"/>
        <v>0.69000200000000689</v>
      </c>
      <c r="R214" s="25">
        <f t="shared" si="227"/>
        <v>0.87500107142857175</v>
      </c>
      <c r="S214" s="25">
        <f t="shared" si="224"/>
        <v>74.580001166666662</v>
      </c>
      <c r="T214" s="20">
        <v>74.511290763935293</v>
      </c>
      <c r="U214" s="20">
        <v>0.506328040536701</v>
      </c>
      <c r="V214" s="20">
        <v>0.34608688160950407</v>
      </c>
      <c r="W214" s="20">
        <v>0.16024115892719692</v>
      </c>
    </row>
    <row r="215" spans="1:23" x14ac:dyDescent="0.35">
      <c r="A215" s="26">
        <v>43018</v>
      </c>
      <c r="B215" s="25">
        <v>76.330001999999993</v>
      </c>
      <c r="C215" s="25">
        <v>76.629997000000003</v>
      </c>
      <c r="D215" s="25">
        <v>76.139999000000003</v>
      </c>
      <c r="E215" s="25">
        <v>76.290001000000004</v>
      </c>
      <c r="F215" s="25">
        <v>13944500</v>
      </c>
      <c r="G215" s="25">
        <v>75.908775000000006</v>
      </c>
      <c r="H215" s="19">
        <f t="shared" si="210"/>
        <v>0</v>
      </c>
      <c r="I215" s="27">
        <f t="shared" si="229"/>
        <v>0.12596970074785355</v>
      </c>
      <c r="J215" s="25">
        <f t="shared" si="211"/>
        <v>0</v>
      </c>
      <c r="K215" s="25">
        <f t="shared" si="212"/>
        <v>0</v>
      </c>
      <c r="L215" s="25">
        <f t="shared" si="213"/>
        <v>0</v>
      </c>
      <c r="M215" s="25">
        <f t="shared" ref="M215:N215" si="238">AVERAGE(K202:K215)</f>
        <v>0.25571450000000034</v>
      </c>
      <c r="N215" s="25">
        <f t="shared" si="238"/>
        <v>0.15928600000000057</v>
      </c>
      <c r="O215" s="25">
        <f t="shared" si="231"/>
        <v>1.6053796316060385</v>
      </c>
      <c r="P215" s="25">
        <f t="shared" si="232"/>
        <v>61.617877568822159</v>
      </c>
      <c r="Q215" s="25">
        <f t="shared" si="209"/>
        <v>0.48999799999999993</v>
      </c>
      <c r="R215" s="25">
        <f t="shared" si="227"/>
        <v>0.82142914285714241</v>
      </c>
      <c r="S215" s="25">
        <f t="shared" si="224"/>
        <v>74.736667583333329</v>
      </c>
      <c r="T215" s="20">
        <v>74.643047077717867</v>
      </c>
      <c r="U215" s="20">
        <v>0.57032283375843917</v>
      </c>
      <c r="V215" s="20">
        <v>0.39093407203929115</v>
      </c>
      <c r="W215" s="20">
        <v>0.17938876171914803</v>
      </c>
    </row>
    <row r="216" spans="1:23" x14ac:dyDescent="0.35">
      <c r="A216" s="26">
        <v>43019</v>
      </c>
      <c r="B216" s="25">
        <v>76.360000999999997</v>
      </c>
      <c r="C216" s="25">
        <v>76.459998999999996</v>
      </c>
      <c r="D216" s="25">
        <v>75.949996999999996</v>
      </c>
      <c r="E216" s="25">
        <v>76.419998000000007</v>
      </c>
      <c r="F216" s="25">
        <v>15388900</v>
      </c>
      <c r="G216" s="25">
        <v>76.038123999999996</v>
      </c>
      <c r="H216" s="19">
        <f t="shared" si="210"/>
        <v>1.7025557230394598E-3</v>
      </c>
      <c r="I216" s="27">
        <f t="shared" si="229"/>
        <v>0.11539518948237545</v>
      </c>
      <c r="J216" s="25">
        <f t="shared" si="211"/>
        <v>0.12999700000000303</v>
      </c>
      <c r="K216" s="25">
        <f t="shared" si="212"/>
        <v>0.12999700000000303</v>
      </c>
      <c r="L216" s="25">
        <f t="shared" si="213"/>
        <v>0</v>
      </c>
      <c r="M216" s="25">
        <f t="shared" ref="M216:N216" si="239">AVERAGE(K203:K216)</f>
        <v>0.26500000000000057</v>
      </c>
      <c r="N216" s="25">
        <f t="shared" si="239"/>
        <v>0.10714292857142839</v>
      </c>
      <c r="O216" s="25">
        <f t="shared" si="231"/>
        <v>2.4733316844455531</v>
      </c>
      <c r="P216" s="25">
        <f t="shared" si="232"/>
        <v>71.20919938403091</v>
      </c>
      <c r="Q216" s="25">
        <f t="shared" si="209"/>
        <v>0.51000200000000007</v>
      </c>
      <c r="R216" s="25">
        <f t="shared" si="227"/>
        <v>0.77714378571428511</v>
      </c>
      <c r="S216" s="25">
        <f t="shared" si="224"/>
        <v>75.000000583333332</v>
      </c>
      <c r="T216" s="20">
        <v>74.77467307196099</v>
      </c>
      <c r="U216" s="20">
        <v>0.62433193005742282</v>
      </c>
      <c r="V216" s="20">
        <v>0.43761364364291755</v>
      </c>
      <c r="W216" s="20">
        <v>0.18671828641450527</v>
      </c>
    </row>
    <row r="217" spans="1:23" x14ac:dyDescent="0.35">
      <c r="A217" s="26">
        <v>43020</v>
      </c>
      <c r="B217" s="25">
        <v>76.489998</v>
      </c>
      <c r="C217" s="25">
        <v>77.290001000000004</v>
      </c>
      <c r="D217" s="25">
        <v>76.370002999999997</v>
      </c>
      <c r="E217" s="25">
        <v>77.120002999999997</v>
      </c>
      <c r="F217" s="25">
        <v>16876500</v>
      </c>
      <c r="G217" s="25">
        <v>76.734634</v>
      </c>
      <c r="H217" s="19">
        <f t="shared" si="210"/>
        <v>9.1183118636422571E-3</v>
      </c>
      <c r="I217" s="27">
        <f t="shared" si="229"/>
        <v>0.11919677158466729</v>
      </c>
      <c r="J217" s="25">
        <f t="shared" si="211"/>
        <v>0.70000499999999022</v>
      </c>
      <c r="K217" s="25">
        <f t="shared" si="212"/>
        <v>0.70000499999999022</v>
      </c>
      <c r="L217" s="25">
        <f t="shared" si="213"/>
        <v>0</v>
      </c>
      <c r="M217" s="25">
        <f t="shared" ref="M217:N217" si="240">AVERAGE(K204:K217)</f>
        <v>0.30071428571428527</v>
      </c>
      <c r="N217" s="25">
        <f t="shared" si="240"/>
        <v>0.10714292857142839</v>
      </c>
      <c r="O217" s="25">
        <f t="shared" si="231"/>
        <v>2.8066647955568036</v>
      </c>
      <c r="P217" s="25">
        <f t="shared" si="232"/>
        <v>73.730284810808271</v>
      </c>
      <c r="Q217" s="25">
        <f t="shared" si="209"/>
        <v>0.91999800000000675</v>
      </c>
      <c r="R217" s="25">
        <f t="shared" si="227"/>
        <v>0.79571478571428556</v>
      </c>
      <c r="S217" s="25">
        <f t="shared" si="224"/>
        <v>75.321667333333323</v>
      </c>
      <c r="T217" s="20">
        <v>74.948401214778698</v>
      </c>
      <c r="U217" s="20">
        <v>0.71537271000610758</v>
      </c>
      <c r="V217" s="20">
        <v>0.49316545691555558</v>
      </c>
      <c r="W217" s="20">
        <v>0.222207253090552</v>
      </c>
    </row>
    <row r="218" spans="1:23" x14ac:dyDescent="0.35">
      <c r="A218" s="26">
        <v>43021</v>
      </c>
      <c r="B218" s="25">
        <v>77.589995999999999</v>
      </c>
      <c r="C218" s="25">
        <v>77.870002999999997</v>
      </c>
      <c r="D218" s="25">
        <v>77.290001000000004</v>
      </c>
      <c r="E218" s="25">
        <v>77.489998</v>
      </c>
      <c r="F218" s="25">
        <v>15335700</v>
      </c>
      <c r="G218" s="25">
        <v>77.102776000000006</v>
      </c>
      <c r="H218" s="19">
        <f t="shared" si="210"/>
        <v>4.7861271553199273E-3</v>
      </c>
      <c r="I218" s="27">
        <f t="shared" si="229"/>
        <v>8.5779230033344783E-2</v>
      </c>
      <c r="J218" s="25">
        <f t="shared" si="211"/>
        <v>0.36999500000000296</v>
      </c>
      <c r="K218" s="25">
        <f t="shared" si="212"/>
        <v>0.36999500000000296</v>
      </c>
      <c r="L218" s="25">
        <f t="shared" si="213"/>
        <v>0</v>
      </c>
      <c r="M218" s="25">
        <f t="shared" ref="M218:N218" si="241">AVERAGE(K205:K218)</f>
        <v>0.32714249999999978</v>
      </c>
      <c r="N218" s="25">
        <f t="shared" si="241"/>
        <v>2.4999928571428347E-2</v>
      </c>
      <c r="O218" s="25">
        <f t="shared" si="231"/>
        <v>13.085737387821217</v>
      </c>
      <c r="P218" s="25">
        <f t="shared" si="232"/>
        <v>92.900620163026616</v>
      </c>
      <c r="Q218" s="25">
        <f t="shared" si="209"/>
        <v>0.58000199999999325</v>
      </c>
      <c r="R218" s="25">
        <f t="shared" si="227"/>
        <v>0.74214335714285695</v>
      </c>
      <c r="S218" s="25">
        <f t="shared" si="224"/>
        <v>75.625000666666651</v>
      </c>
      <c r="T218" s="20">
        <v>75.136667643313601</v>
      </c>
      <c r="U218" s="20">
        <v>0.80806383150431316</v>
      </c>
      <c r="V218" s="20">
        <v>0.55614513183330705</v>
      </c>
      <c r="W218" s="20">
        <v>0.25191869967100611</v>
      </c>
    </row>
    <row r="219" spans="1:23" x14ac:dyDescent="0.35">
      <c r="A219" s="26">
        <v>43024</v>
      </c>
      <c r="B219" s="25">
        <v>77.419998000000007</v>
      </c>
      <c r="C219" s="25">
        <v>77.809997999999993</v>
      </c>
      <c r="D219" s="25">
        <v>77.349997999999999</v>
      </c>
      <c r="E219" s="25">
        <v>77.650002000000001</v>
      </c>
      <c r="F219" s="25">
        <v>12380100</v>
      </c>
      <c r="G219" s="25">
        <v>77.261985999999993</v>
      </c>
      <c r="H219" s="19">
        <f t="shared" si="210"/>
        <v>2.0627772088795495E-3</v>
      </c>
      <c r="I219" s="27">
        <f t="shared" si="229"/>
        <v>8.4344605010694962E-2</v>
      </c>
      <c r="J219" s="25">
        <f t="shared" si="211"/>
        <v>0.1600040000000007</v>
      </c>
      <c r="K219" s="25">
        <f t="shared" si="212"/>
        <v>0.1600040000000007</v>
      </c>
      <c r="L219" s="25">
        <f t="shared" si="213"/>
        <v>0</v>
      </c>
      <c r="M219" s="25">
        <f t="shared" ref="M219:N219" si="242">AVERAGE(K206:K219)</f>
        <v>0.33857135714285697</v>
      </c>
      <c r="N219" s="25">
        <f t="shared" si="242"/>
        <v>2.4999928571428347E-2</v>
      </c>
      <c r="O219" s="25">
        <f t="shared" si="231"/>
        <v>13.542892979694342</v>
      </c>
      <c r="P219" s="25">
        <f t="shared" si="232"/>
        <v>93.123789046675512</v>
      </c>
      <c r="Q219" s="25">
        <f t="shared" si="209"/>
        <v>0.45999999999999375</v>
      </c>
      <c r="R219" s="25">
        <f t="shared" si="227"/>
        <v>0.71642907142857126</v>
      </c>
      <c r="S219" s="25">
        <f t="shared" si="224"/>
        <v>75.940000583333315</v>
      </c>
      <c r="T219" s="20">
        <v>75.32284055862371</v>
      </c>
      <c r="U219" s="20">
        <v>0.8842402277606709</v>
      </c>
      <c r="V219" s="20">
        <v>0.62176415101877991</v>
      </c>
      <c r="W219" s="20">
        <v>0.262476076741891</v>
      </c>
    </row>
    <row r="220" spans="1:23" x14ac:dyDescent="0.35">
      <c r="A220" s="26">
        <v>43025</v>
      </c>
      <c r="B220" s="25">
        <v>77.470000999999996</v>
      </c>
      <c r="C220" s="25">
        <v>77.620002999999997</v>
      </c>
      <c r="D220" s="25">
        <v>77.25</v>
      </c>
      <c r="E220" s="25">
        <v>77.589995999999999</v>
      </c>
      <c r="F220" s="25">
        <v>16824000</v>
      </c>
      <c r="G220" s="25">
        <v>77.202278000000007</v>
      </c>
      <c r="H220" s="19">
        <f t="shared" si="210"/>
        <v>-7.7309795065406549E-4</v>
      </c>
      <c r="I220" s="27">
        <f t="shared" si="229"/>
        <v>8.478560409648174E-2</v>
      </c>
      <c r="J220" s="25">
        <f t="shared" si="211"/>
        <v>-6.0006000000001336E-2</v>
      </c>
      <c r="K220" s="25">
        <f t="shared" si="212"/>
        <v>0</v>
      </c>
      <c r="L220" s="25">
        <f t="shared" si="213"/>
        <v>6.0006000000001336E-2</v>
      </c>
      <c r="M220" s="25">
        <f t="shared" ref="M220:N220" si="243">AVERAGE(K207:K220)</f>
        <v>0.2964287857142856</v>
      </c>
      <c r="N220" s="25">
        <f t="shared" si="243"/>
        <v>2.9286071428571297E-2</v>
      </c>
      <c r="O220" s="25">
        <f t="shared" si="231"/>
        <v>10.121835099571998</v>
      </c>
      <c r="P220" s="25">
        <f t="shared" si="232"/>
        <v>91.008678054950821</v>
      </c>
      <c r="Q220" s="25">
        <f t="shared" si="209"/>
        <v>0.37000299999999697</v>
      </c>
      <c r="R220" s="25">
        <f t="shared" si="227"/>
        <v>0.67142928571428528</v>
      </c>
      <c r="S220" s="25">
        <f t="shared" si="224"/>
        <v>76.198333750000003</v>
      </c>
      <c r="T220" s="20">
        <v>75.490777998725662</v>
      </c>
      <c r="U220" s="20">
        <v>0.92905897436881446</v>
      </c>
      <c r="V220" s="20">
        <v>0.6832231156887868</v>
      </c>
      <c r="W220" s="20">
        <v>0.24583585868002766</v>
      </c>
    </row>
    <row r="221" spans="1:23" x14ac:dyDescent="0.35">
      <c r="A221" s="26">
        <v>43026</v>
      </c>
      <c r="B221" s="25">
        <v>77.669998000000007</v>
      </c>
      <c r="C221" s="25">
        <v>77.849997999999999</v>
      </c>
      <c r="D221" s="25">
        <v>77.370002999999997</v>
      </c>
      <c r="E221" s="25">
        <v>77.610000999999997</v>
      </c>
      <c r="F221" s="25">
        <v>13300700</v>
      </c>
      <c r="G221" s="25">
        <v>77.222183000000001</v>
      </c>
      <c r="H221" s="19">
        <f t="shared" si="210"/>
        <v>2.5779594736915416E-4</v>
      </c>
      <c r="I221" s="27">
        <f t="shared" si="229"/>
        <v>8.4795273940699883E-2</v>
      </c>
      <c r="J221" s="25">
        <f t="shared" si="211"/>
        <v>2.0004999999997608E-2</v>
      </c>
      <c r="K221" s="25">
        <f t="shared" si="212"/>
        <v>2.0004999999997608E-2</v>
      </c>
      <c r="L221" s="25">
        <f t="shared" si="213"/>
        <v>0</v>
      </c>
      <c r="M221" s="25">
        <f t="shared" ref="M221:N221" si="244">AVERAGE(K208:K221)</f>
        <v>0.2964287857142856</v>
      </c>
      <c r="N221" s="25">
        <f t="shared" si="244"/>
        <v>2.9286071428571297E-2</v>
      </c>
      <c r="O221" s="25">
        <f t="shared" si="231"/>
        <v>10.121835099571998</v>
      </c>
      <c r="P221" s="25">
        <f t="shared" si="232"/>
        <v>91.008678054950821</v>
      </c>
      <c r="Q221" s="25">
        <f t="shared" si="209"/>
        <v>0.47999500000000239</v>
      </c>
      <c r="R221" s="25">
        <f t="shared" si="227"/>
        <v>0.65857157142857103</v>
      </c>
      <c r="S221" s="25">
        <f t="shared" si="224"/>
        <v>76.448333750000003</v>
      </c>
      <c r="T221" s="20">
        <v>75.647757480301536</v>
      </c>
      <c r="U221" s="20">
        <v>0.95518165077841388</v>
      </c>
      <c r="V221" s="20">
        <v>0.73761482270671219</v>
      </c>
      <c r="W221" s="20">
        <v>0.21756682807170169</v>
      </c>
    </row>
    <row r="222" spans="1:23" x14ac:dyDescent="0.35">
      <c r="A222" s="26">
        <v>43027</v>
      </c>
      <c r="B222" s="25">
        <v>77.569999999999993</v>
      </c>
      <c r="C222" s="25">
        <v>77.930000000000007</v>
      </c>
      <c r="D222" s="25">
        <v>77.349997999999999</v>
      </c>
      <c r="E222" s="25">
        <v>77.910004000000001</v>
      </c>
      <c r="F222" s="25">
        <v>15092800</v>
      </c>
      <c r="G222" s="25">
        <v>77.520683000000005</v>
      </c>
      <c r="H222" s="19">
        <f t="shared" si="210"/>
        <v>3.8580178584377484E-3</v>
      </c>
      <c r="I222" s="27">
        <f t="shared" si="229"/>
        <v>8.1927117142875497E-2</v>
      </c>
      <c r="J222" s="25">
        <f t="shared" si="211"/>
        <v>0.30000300000000379</v>
      </c>
      <c r="K222" s="25">
        <f t="shared" si="212"/>
        <v>0.30000300000000379</v>
      </c>
      <c r="L222" s="25">
        <f t="shared" si="213"/>
        <v>0</v>
      </c>
      <c r="M222" s="25">
        <f t="shared" ref="M222:N222" si="245">AVERAGE(K209:K222)</f>
        <v>0.27357221428571421</v>
      </c>
      <c r="N222" s="25">
        <f t="shared" si="245"/>
        <v>2.9286071428571297E-2</v>
      </c>
      <c r="O222" s="25">
        <f t="shared" si="231"/>
        <v>9.3413763246790076</v>
      </c>
      <c r="P222" s="25">
        <f t="shared" si="232"/>
        <v>90.330107244878363</v>
      </c>
      <c r="Q222" s="25">
        <f t="shared" si="209"/>
        <v>0.58000200000000746</v>
      </c>
      <c r="R222" s="25">
        <f t="shared" si="227"/>
        <v>0.65285714285714291</v>
      </c>
      <c r="S222" s="25">
        <f t="shared" si="224"/>
        <v>76.752500583333344</v>
      </c>
      <c r="T222" s="20">
        <v>75.815331296575494</v>
      </c>
      <c r="U222" s="20">
        <v>0.98869473741522995</v>
      </c>
      <c r="V222" s="20">
        <v>0.78783080564841579</v>
      </c>
      <c r="W222" s="20">
        <v>0.20086393176681416</v>
      </c>
    </row>
    <row r="223" spans="1:23" x14ac:dyDescent="0.35">
      <c r="A223" s="26">
        <v>43028</v>
      </c>
      <c r="B223" s="25">
        <v>78.319999999999993</v>
      </c>
      <c r="C223" s="25">
        <v>78.970000999999996</v>
      </c>
      <c r="D223" s="25">
        <v>78.220000999999996</v>
      </c>
      <c r="E223" s="25">
        <v>78.809997999999993</v>
      </c>
      <c r="F223" s="25">
        <v>22866400</v>
      </c>
      <c r="G223" s="25">
        <v>78.416183000000004</v>
      </c>
      <c r="H223" s="19">
        <f t="shared" si="210"/>
        <v>1.1485543698662911E-2</v>
      </c>
      <c r="I223" s="27">
        <f t="shared" si="229"/>
        <v>8.8635766707562152E-2</v>
      </c>
      <c r="J223" s="25">
        <f t="shared" si="211"/>
        <v>0.89999399999999241</v>
      </c>
      <c r="K223" s="25">
        <f t="shared" si="212"/>
        <v>0.89999399999999241</v>
      </c>
      <c r="L223" s="25">
        <f t="shared" si="213"/>
        <v>0</v>
      </c>
      <c r="M223" s="25">
        <f t="shared" ref="M223:N223" si="246">AVERAGE(K210:K223)</f>
        <v>0.32928585714285674</v>
      </c>
      <c r="N223" s="25">
        <f t="shared" si="246"/>
        <v>2.9286071428571297E-2</v>
      </c>
      <c r="O223" s="25">
        <f t="shared" si="231"/>
        <v>11.243770197924453</v>
      </c>
      <c r="P223" s="25">
        <f t="shared" si="232"/>
        <v>91.832581109946688</v>
      </c>
      <c r="Q223" s="25">
        <f t="shared" si="209"/>
        <v>0.75</v>
      </c>
      <c r="R223" s="25">
        <f t="shared" si="227"/>
        <v>0.65571435714285742</v>
      </c>
      <c r="S223" s="25">
        <f t="shared" si="224"/>
        <v>77.095833583333331</v>
      </c>
      <c r="T223" s="20">
        <v>76.037158459792124</v>
      </c>
      <c r="U223" s="20">
        <v>1.075478645892332</v>
      </c>
      <c r="V223" s="20">
        <v>0.84536037369719907</v>
      </c>
      <c r="W223" s="20">
        <v>0.23011827219513292</v>
      </c>
    </row>
    <row r="224" spans="1:23" x14ac:dyDescent="0.35">
      <c r="A224" s="26">
        <v>43031</v>
      </c>
      <c r="B224" s="25">
        <v>78.989998</v>
      </c>
      <c r="C224" s="25">
        <v>79.339995999999999</v>
      </c>
      <c r="D224" s="25">
        <v>78.760002</v>
      </c>
      <c r="E224" s="25">
        <v>78.830001999999993</v>
      </c>
      <c r="F224" s="25">
        <v>20627200</v>
      </c>
      <c r="G224" s="25">
        <v>78.436088999999996</v>
      </c>
      <c r="H224" s="19">
        <f t="shared" si="210"/>
        <v>2.5381844780505416E-4</v>
      </c>
      <c r="I224" s="27">
        <f t="shared" si="229"/>
        <v>8.1506742906845966E-2</v>
      </c>
      <c r="J224" s="25">
        <f t="shared" si="211"/>
        <v>2.0004000000000133E-2</v>
      </c>
      <c r="K224" s="25">
        <f t="shared" si="212"/>
        <v>2.0004000000000133E-2</v>
      </c>
      <c r="L224" s="25">
        <f t="shared" si="213"/>
        <v>0</v>
      </c>
      <c r="M224" s="25">
        <f t="shared" ref="M224:N224" si="247">AVERAGE(K211:K224)</f>
        <v>0.33071471428571392</v>
      </c>
      <c r="N224" s="25">
        <f t="shared" si="247"/>
        <v>4.2861428571429527E-3</v>
      </c>
      <c r="O224" s="25">
        <f t="shared" si="231"/>
        <v>77.159050761588702</v>
      </c>
      <c r="P224" s="25">
        <f t="shared" si="232"/>
        <v>98.720557644628599</v>
      </c>
      <c r="Q224" s="25">
        <f t="shared" si="209"/>
        <v>0.57999399999999923</v>
      </c>
      <c r="R224" s="25">
        <f t="shared" si="227"/>
        <v>0.64785714285714335</v>
      </c>
      <c r="S224" s="25">
        <f t="shared" si="224"/>
        <v>77.334167000000008</v>
      </c>
      <c r="T224" s="20">
        <v>76.24403575906679</v>
      </c>
      <c r="U224" s="20">
        <v>1.1328113303585212</v>
      </c>
      <c r="V224" s="20">
        <v>0.90285056502946359</v>
      </c>
      <c r="W224" s="20">
        <v>0.22996076532905763</v>
      </c>
    </row>
    <row r="225" spans="1:23" x14ac:dyDescent="0.35">
      <c r="A225" s="26">
        <v>43032</v>
      </c>
      <c r="B225" s="25">
        <v>78.900002000000001</v>
      </c>
      <c r="C225" s="25">
        <v>79.199996999999996</v>
      </c>
      <c r="D225" s="25">
        <v>78.459998999999996</v>
      </c>
      <c r="E225" s="25">
        <v>78.860000999999997</v>
      </c>
      <c r="F225" s="25">
        <v>17517200</v>
      </c>
      <c r="G225" s="25">
        <v>78.465935000000002</v>
      </c>
      <c r="H225" s="19">
        <f t="shared" si="210"/>
        <v>3.8044124096168233E-4</v>
      </c>
      <c r="I225" s="27">
        <f t="shared" si="229"/>
        <v>8.2774557420956504E-2</v>
      </c>
      <c r="J225" s="25">
        <f t="shared" si="211"/>
        <v>2.9999000000003662E-2</v>
      </c>
      <c r="K225" s="25">
        <f t="shared" si="212"/>
        <v>2.9999000000003662E-2</v>
      </c>
      <c r="L225" s="25">
        <f t="shared" si="213"/>
        <v>0</v>
      </c>
      <c r="M225" s="25">
        <f t="shared" ref="M225:N225" si="248">AVERAGE(K212:K225)</f>
        <v>0.30214321428571367</v>
      </c>
      <c r="N225" s="25">
        <f t="shared" si="248"/>
        <v>4.2861428571429527E-3</v>
      </c>
      <c r="O225" s="25">
        <f t="shared" si="231"/>
        <v>70.493034029928623</v>
      </c>
      <c r="P225" s="25">
        <f t="shared" si="232"/>
        <v>98.601262327765554</v>
      </c>
      <c r="Q225" s="25">
        <f t="shared" si="209"/>
        <v>0.73999799999999993</v>
      </c>
      <c r="R225" s="25">
        <f t="shared" si="227"/>
        <v>0.62857114285714333</v>
      </c>
      <c r="S225" s="25">
        <f t="shared" si="224"/>
        <v>77.572500416666671</v>
      </c>
      <c r="T225" s="20">
        <v>76.437810962098879</v>
      </c>
      <c r="U225" s="20">
        <v>1.1672136520302274</v>
      </c>
      <c r="V225" s="20">
        <v>0.9557231824296164</v>
      </c>
      <c r="W225" s="20">
        <v>0.21149046960061102</v>
      </c>
    </row>
    <row r="226" spans="1:23" x14ac:dyDescent="0.35">
      <c r="A226" s="26">
        <v>43033</v>
      </c>
      <c r="B226" s="25">
        <v>78.580001999999993</v>
      </c>
      <c r="C226" s="25">
        <v>79.099997999999999</v>
      </c>
      <c r="D226" s="25">
        <v>78.010002</v>
      </c>
      <c r="E226" s="25">
        <v>78.629997000000003</v>
      </c>
      <c r="F226" s="25">
        <v>20410800</v>
      </c>
      <c r="G226" s="25">
        <v>78.237082999999998</v>
      </c>
      <c r="H226" s="19">
        <f t="shared" si="210"/>
        <v>-2.9208392489344431E-3</v>
      </c>
      <c r="I226" s="27">
        <f t="shared" si="229"/>
        <v>6.2182939097056272E-2</v>
      </c>
      <c r="J226" s="25">
        <f t="shared" si="211"/>
        <v>-0.23000399999999388</v>
      </c>
      <c r="K226" s="25">
        <f t="shared" si="212"/>
        <v>0</v>
      </c>
      <c r="L226" s="25">
        <f t="shared" si="213"/>
        <v>0.23000399999999388</v>
      </c>
      <c r="M226" s="25">
        <f t="shared" ref="M226:N226" si="249">AVERAGE(K213:K226)</f>
        <v>0.21071471428571442</v>
      </c>
      <c r="N226" s="25">
        <f t="shared" si="249"/>
        <v>2.0714999999999657E-2</v>
      </c>
      <c r="O226" s="25">
        <f t="shared" si="231"/>
        <v>10.172083721251166</v>
      </c>
      <c r="P226" s="25">
        <f t="shared" si="232"/>
        <v>91.049118275959273</v>
      </c>
      <c r="Q226" s="25">
        <f t="shared" si="209"/>
        <v>1.0899959999999993</v>
      </c>
      <c r="R226" s="25">
        <f t="shared" si="227"/>
        <v>0.62357057142857186</v>
      </c>
      <c r="S226" s="25">
        <f t="shared" si="224"/>
        <v>77.767500083333331</v>
      </c>
      <c r="T226" s="20">
        <v>76.600195113054525</v>
      </c>
      <c r="U226" s="20">
        <v>1.1625175604393263</v>
      </c>
      <c r="V226" s="20">
        <v>0.99708205803155836</v>
      </c>
      <c r="W226" s="20">
        <v>0.16543550240776794</v>
      </c>
    </row>
    <row r="227" spans="1:23" x14ac:dyDescent="0.35">
      <c r="A227" s="26">
        <v>43034</v>
      </c>
      <c r="B227" s="25">
        <v>79.199996999999996</v>
      </c>
      <c r="C227" s="25">
        <v>79.419998000000007</v>
      </c>
      <c r="D227" s="25">
        <v>78.75</v>
      </c>
      <c r="E227" s="25">
        <v>78.760002</v>
      </c>
      <c r="F227" s="25">
        <v>32120700</v>
      </c>
      <c r="G227" s="25">
        <v>78.366439999999997</v>
      </c>
      <c r="H227" s="19">
        <f t="shared" si="210"/>
        <v>1.6520321758049141E-3</v>
      </c>
      <c r="I227" s="27">
        <f t="shared" si="229"/>
        <v>6.160026084455212E-2</v>
      </c>
      <c r="J227" s="25">
        <f t="shared" si="211"/>
        <v>0.13000499999999704</v>
      </c>
      <c r="K227" s="25">
        <f t="shared" si="212"/>
        <v>0.13000499999999704</v>
      </c>
      <c r="L227" s="25">
        <f t="shared" si="213"/>
        <v>0</v>
      </c>
      <c r="M227" s="25">
        <f t="shared" ref="M227:N227" si="250">AVERAGE(K214:K227)</f>
        <v>0.21785799999999966</v>
      </c>
      <c r="N227" s="25">
        <f t="shared" si="250"/>
        <v>2.0714999999999657E-2</v>
      </c>
      <c r="O227" s="25">
        <f t="shared" si="231"/>
        <v>10.516920106203392</v>
      </c>
      <c r="P227" s="25">
        <f t="shared" si="232"/>
        <v>91.31712306086618</v>
      </c>
      <c r="Q227" s="25">
        <f t="shared" si="209"/>
        <v>0.66999800000000675</v>
      </c>
      <c r="R227" s="25">
        <f t="shared" si="227"/>
        <v>0.63642771428571521</v>
      </c>
      <c r="S227" s="25">
        <f t="shared" si="224"/>
        <v>77.97333350000001</v>
      </c>
      <c r="T227" s="20">
        <v>76.760180808383822</v>
      </c>
      <c r="U227" s="20">
        <v>1.1559609922648235</v>
      </c>
      <c r="V227" s="20">
        <v>1.0288578448782115</v>
      </c>
      <c r="W227" s="20">
        <v>0.12710314738661199</v>
      </c>
    </row>
    <row r="228" spans="1:23" x14ac:dyDescent="0.35">
      <c r="A228" s="26">
        <v>43035</v>
      </c>
      <c r="B228" s="25">
        <v>84.370002999999997</v>
      </c>
      <c r="C228" s="25">
        <v>86.199996999999996</v>
      </c>
      <c r="D228" s="25">
        <v>83.610000999999997</v>
      </c>
      <c r="E228" s="25">
        <v>83.809997999999993</v>
      </c>
      <c r="F228" s="25">
        <v>71066700</v>
      </c>
      <c r="G228" s="25">
        <v>83.391197000000005</v>
      </c>
      <c r="H228" s="19">
        <f t="shared" si="210"/>
        <v>6.2146977747477829E-2</v>
      </c>
      <c r="I228" s="27">
        <f t="shared" si="229"/>
        <v>0.26058840654546372</v>
      </c>
      <c r="J228" s="25">
        <f t="shared" si="211"/>
        <v>5.049995999999993</v>
      </c>
      <c r="K228" s="25">
        <f t="shared" si="212"/>
        <v>5.049995999999993</v>
      </c>
      <c r="L228" s="25">
        <f t="shared" si="213"/>
        <v>0</v>
      </c>
      <c r="M228" s="25">
        <f t="shared" ref="M228:N228" si="251">AVERAGE(K215:K228)</f>
        <v>0.55785764285714179</v>
      </c>
      <c r="N228" s="25">
        <f t="shared" si="251"/>
        <v>2.0714999999999657E-2</v>
      </c>
      <c r="O228" s="25">
        <f t="shared" si="231"/>
        <v>26.930129995517788</v>
      </c>
      <c r="P228" s="25">
        <f t="shared" si="232"/>
        <v>96.419637143971471</v>
      </c>
      <c r="Q228" s="25">
        <f t="shared" si="209"/>
        <v>2.5899959999999993</v>
      </c>
      <c r="R228" s="25">
        <f t="shared" si="227"/>
        <v>0.77214157142857176</v>
      </c>
      <c r="S228" s="25">
        <f t="shared" si="224"/>
        <v>78.589166833333337</v>
      </c>
      <c r="T228" s="20">
        <v>77.282389489244281</v>
      </c>
      <c r="U228" s="20">
        <v>1.5404994189968875</v>
      </c>
      <c r="V228" s="20">
        <v>1.1311861597019468</v>
      </c>
      <c r="W228" s="20">
        <v>0.40931325929494067</v>
      </c>
    </row>
    <row r="229" spans="1:23" x14ac:dyDescent="0.35">
      <c r="A229" s="26">
        <v>43038</v>
      </c>
      <c r="B229" s="25">
        <v>83.699996999999996</v>
      </c>
      <c r="C229" s="25">
        <v>84.330001999999993</v>
      </c>
      <c r="D229" s="25">
        <v>83.110000999999997</v>
      </c>
      <c r="E229" s="25">
        <v>83.889999000000003</v>
      </c>
      <c r="F229" s="25">
        <v>31756700</v>
      </c>
      <c r="G229" s="25">
        <v>83.470802000000006</v>
      </c>
      <c r="H229" s="19">
        <f t="shared" si="210"/>
        <v>9.5414182397845148E-4</v>
      </c>
      <c r="I229" s="27">
        <f t="shared" si="229"/>
        <v>0.26014285784157226</v>
      </c>
      <c r="J229" s="25">
        <f t="shared" si="211"/>
        <v>8.0001000000009981E-2</v>
      </c>
      <c r="K229" s="25">
        <f t="shared" si="212"/>
        <v>8.0001000000009981E-2</v>
      </c>
      <c r="L229" s="25">
        <f t="shared" si="213"/>
        <v>0</v>
      </c>
      <c r="M229" s="25">
        <f t="shared" ref="M229:N229" si="252">AVERAGE(K216:K229)</f>
        <v>0.56357199999999963</v>
      </c>
      <c r="N229" s="25">
        <f t="shared" si="252"/>
        <v>2.0714999999999657E-2</v>
      </c>
      <c r="O229" s="25">
        <f t="shared" si="231"/>
        <v>27.205986000483176</v>
      </c>
      <c r="P229" s="25">
        <f t="shared" si="232"/>
        <v>96.45465327826912</v>
      </c>
      <c r="Q229" s="25">
        <f t="shared" si="209"/>
        <v>1.2200009999999963</v>
      </c>
      <c r="R229" s="25">
        <f t="shared" si="227"/>
        <v>0.82428464285714298</v>
      </c>
      <c r="S229" s="25">
        <f t="shared" si="224"/>
        <v>79.153333166666656</v>
      </c>
      <c r="T229" s="20">
        <v>77.771842045596557</v>
      </c>
      <c r="U229" s="20">
        <v>1.8306022613767396</v>
      </c>
      <c r="V229" s="20">
        <v>1.2710693800369053</v>
      </c>
      <c r="W229" s="20">
        <v>0.55953288133983436</v>
      </c>
    </row>
    <row r="230" spans="1:23" x14ac:dyDescent="0.35">
      <c r="A230" s="26">
        <v>43039</v>
      </c>
      <c r="B230" s="25">
        <v>84.360000999999997</v>
      </c>
      <c r="C230" s="25">
        <v>84.360000999999997</v>
      </c>
      <c r="D230" s="25">
        <v>83.110000999999997</v>
      </c>
      <c r="E230" s="25">
        <v>83.18</v>
      </c>
      <c r="F230" s="25">
        <v>27086600</v>
      </c>
      <c r="G230" s="25">
        <v>82.764351000000005</v>
      </c>
      <c r="H230" s="19">
        <f t="shared" si="210"/>
        <v>-8.4994688564704636E-3</v>
      </c>
      <c r="I230" s="27">
        <f t="shared" si="229"/>
        <v>0.26750193357155705</v>
      </c>
      <c r="J230" s="25">
        <f t="shared" si="211"/>
        <v>-0.70999899999999627</v>
      </c>
      <c r="K230" s="25">
        <f t="shared" si="212"/>
        <v>0</v>
      </c>
      <c r="L230" s="25">
        <f t="shared" si="213"/>
        <v>0.70999899999999627</v>
      </c>
      <c r="M230" s="25">
        <f t="shared" ref="M230:N230" si="253">AVERAGE(K217:K230)</f>
        <v>0.55428649999999935</v>
      </c>
      <c r="N230" s="25">
        <f t="shared" si="253"/>
        <v>7.142921428571368E-2</v>
      </c>
      <c r="O230" s="25">
        <f t="shared" si="231"/>
        <v>7.7599411605296122</v>
      </c>
      <c r="P230" s="25">
        <f t="shared" si="232"/>
        <v>88.58439820913658</v>
      </c>
      <c r="Q230" s="25">
        <f t="shared" si="209"/>
        <v>1.25</v>
      </c>
      <c r="R230" s="25">
        <f t="shared" si="227"/>
        <v>0.87714164285714291</v>
      </c>
      <c r="S230" s="25">
        <f t="shared" si="224"/>
        <v>79.627499999999998</v>
      </c>
      <c r="T230" s="20">
        <v>78.172446338515343</v>
      </c>
      <c r="U230" s="20">
        <v>1.9803911520005215</v>
      </c>
      <c r="V230" s="20">
        <v>1.4129337344296284</v>
      </c>
      <c r="W230" s="20">
        <v>0.56745741757089307</v>
      </c>
    </row>
    <row r="231" spans="1:23" x14ac:dyDescent="0.35">
      <c r="A231" s="26">
        <v>43040</v>
      </c>
      <c r="B231" s="25">
        <v>83.68</v>
      </c>
      <c r="C231" s="25">
        <v>83.760002</v>
      </c>
      <c r="D231" s="25">
        <v>82.879997000000003</v>
      </c>
      <c r="E231" s="25">
        <v>83.18</v>
      </c>
      <c r="F231" s="25">
        <v>22307400</v>
      </c>
      <c r="G231" s="25">
        <v>82.764351000000005</v>
      </c>
      <c r="H231" s="19">
        <f t="shared" si="210"/>
        <v>0</v>
      </c>
      <c r="I231" s="27">
        <f t="shared" si="229"/>
        <v>0.26827368656035933</v>
      </c>
      <c r="J231" s="25">
        <f t="shared" si="211"/>
        <v>0</v>
      </c>
      <c r="K231" s="25">
        <f t="shared" si="212"/>
        <v>0</v>
      </c>
      <c r="L231" s="25">
        <f t="shared" si="213"/>
        <v>0</v>
      </c>
      <c r="M231" s="25">
        <f t="shared" ref="M231:N231" si="254">AVERAGE(K218:K231)</f>
        <v>0.5042861428571429</v>
      </c>
      <c r="N231" s="25">
        <f t="shared" si="254"/>
        <v>7.142921428571368E-2</v>
      </c>
      <c r="O231" s="25">
        <f t="shared" si="231"/>
        <v>7.0599424605179157</v>
      </c>
      <c r="P231" s="25">
        <f t="shared" si="232"/>
        <v>87.592963536668449</v>
      </c>
      <c r="Q231" s="25">
        <f t="shared" si="209"/>
        <v>0.88000499999999704</v>
      </c>
      <c r="R231" s="25">
        <f t="shared" si="227"/>
        <v>0.87428499999999942</v>
      </c>
      <c r="S231" s="25">
        <f t="shared" si="224"/>
        <v>80.088333166666658</v>
      </c>
      <c r="T231" s="20">
        <v>78.543376239366069</v>
      </c>
      <c r="U231" s="20">
        <v>2.0751785603011967</v>
      </c>
      <c r="V231" s="20">
        <v>1.5453826996039424</v>
      </c>
      <c r="W231" s="20">
        <v>0.52979586069725437</v>
      </c>
    </row>
    <row r="232" spans="1:23" x14ac:dyDescent="0.35">
      <c r="A232" s="26">
        <v>43041</v>
      </c>
      <c r="B232" s="25">
        <v>83.349997999999999</v>
      </c>
      <c r="C232" s="25">
        <v>84.459998999999996</v>
      </c>
      <c r="D232" s="25">
        <v>83.120002999999997</v>
      </c>
      <c r="E232" s="25">
        <v>84.050003000000004</v>
      </c>
      <c r="F232" s="25">
        <v>23992900</v>
      </c>
      <c r="G232" s="25">
        <v>83.630004999999997</v>
      </c>
      <c r="H232" s="19">
        <f t="shared" si="210"/>
        <v>1.0404941978091879E-2</v>
      </c>
      <c r="I232" s="27">
        <f t="shared" si="229"/>
        <v>0.26908109791259183</v>
      </c>
      <c r="J232" s="25">
        <f t="shared" si="211"/>
        <v>0.87000299999999697</v>
      </c>
      <c r="K232" s="25">
        <f t="shared" si="212"/>
        <v>0.87000299999999697</v>
      </c>
      <c r="L232" s="25">
        <f t="shared" si="213"/>
        <v>0</v>
      </c>
      <c r="M232" s="25">
        <f t="shared" ref="M232:N232" si="255">AVERAGE(K219:K232)</f>
        <v>0.54000099999999962</v>
      </c>
      <c r="N232" s="25">
        <f t="shared" si="255"/>
        <v>7.142921428571368E-2</v>
      </c>
      <c r="O232" s="25">
        <f t="shared" si="231"/>
        <v>7.5599459604864148</v>
      </c>
      <c r="P232" s="25">
        <f t="shared" si="232"/>
        <v>88.317683258561416</v>
      </c>
      <c r="Q232" s="25">
        <f t="shared" si="209"/>
        <v>1.3399959999999993</v>
      </c>
      <c r="R232" s="25">
        <f t="shared" si="227"/>
        <v>0.92857028571428557</v>
      </c>
      <c r="S232" s="25">
        <f t="shared" si="224"/>
        <v>80.626667083333345</v>
      </c>
      <c r="T232" s="20">
        <v>78.951274517931552</v>
      </c>
      <c r="U232" s="20">
        <v>2.1951953894792098</v>
      </c>
      <c r="V232" s="20">
        <v>1.6753452375789959</v>
      </c>
      <c r="W232" s="20">
        <v>0.51985015190021389</v>
      </c>
    </row>
    <row r="233" spans="1:23" x14ac:dyDescent="0.35">
      <c r="A233" s="26">
        <v>43042</v>
      </c>
      <c r="B233" s="25">
        <v>84.080001999999993</v>
      </c>
      <c r="C233" s="25">
        <v>84.540001000000004</v>
      </c>
      <c r="D233" s="25">
        <v>83.400002000000001</v>
      </c>
      <c r="E233" s="25">
        <v>84.139999000000003</v>
      </c>
      <c r="F233" s="25">
        <v>17633500</v>
      </c>
      <c r="G233" s="25">
        <v>83.719550999999996</v>
      </c>
      <c r="H233" s="19">
        <f t="shared" si="210"/>
        <v>1.070167267681277E-3</v>
      </c>
      <c r="I233" s="27">
        <f t="shared" si="229"/>
        <v>0.26938144721814422</v>
      </c>
      <c r="J233" s="25">
        <f t="shared" si="211"/>
        <v>8.9995999999999299E-2</v>
      </c>
      <c r="K233" s="25">
        <f t="shared" si="212"/>
        <v>8.9995999999999299E-2</v>
      </c>
      <c r="L233" s="25">
        <f t="shared" si="213"/>
        <v>0</v>
      </c>
      <c r="M233" s="25">
        <f t="shared" ref="M233:N233" si="256">AVERAGE(K220:K233)</f>
        <v>0.53500042857142815</v>
      </c>
      <c r="N233" s="25">
        <f t="shared" si="256"/>
        <v>7.142921428571368E-2</v>
      </c>
      <c r="O233" s="25">
        <f t="shared" si="231"/>
        <v>7.4899385905527431</v>
      </c>
      <c r="P233" s="25">
        <f t="shared" si="232"/>
        <v>88.221351787953338</v>
      </c>
      <c r="Q233" s="25">
        <f t="shared" si="209"/>
        <v>1.1399990000000031</v>
      </c>
      <c r="R233" s="25">
        <f t="shared" si="227"/>
        <v>0.97714164285714333</v>
      </c>
      <c r="S233" s="25">
        <f t="shared" si="224"/>
        <v>81.170833583333334</v>
      </c>
      <c r="T233" s="20">
        <v>79.335624479566249</v>
      </c>
      <c r="U233" s="20">
        <v>2.271388365165933</v>
      </c>
      <c r="V233" s="20">
        <v>1.7945538630963833</v>
      </c>
      <c r="W233" s="20">
        <v>0.47683450206954969</v>
      </c>
    </row>
    <row r="234" spans="1:23" x14ac:dyDescent="0.35">
      <c r="A234" s="26">
        <v>43045</v>
      </c>
      <c r="B234" s="25">
        <v>84.199996999999996</v>
      </c>
      <c r="C234" s="25">
        <v>84.699996999999996</v>
      </c>
      <c r="D234" s="25">
        <v>84.080001999999993</v>
      </c>
      <c r="E234" s="25">
        <v>84.470000999999996</v>
      </c>
      <c r="F234" s="25">
        <v>19860900</v>
      </c>
      <c r="G234" s="25">
        <v>84.047905</v>
      </c>
      <c r="H234" s="19">
        <f t="shared" si="210"/>
        <v>3.9143994562038046E-3</v>
      </c>
      <c r="I234" s="27">
        <f t="shared" si="229"/>
        <v>0.26791678554051934</v>
      </c>
      <c r="J234" s="25">
        <f t="shared" si="211"/>
        <v>0.33000199999999325</v>
      </c>
      <c r="K234" s="25">
        <f t="shared" si="212"/>
        <v>0.33000199999999325</v>
      </c>
      <c r="L234" s="25">
        <f t="shared" si="213"/>
        <v>0</v>
      </c>
      <c r="M234" s="25">
        <f t="shared" ref="M234:N234" si="257">AVERAGE(K221:K234)</f>
        <v>0.55857199999999907</v>
      </c>
      <c r="N234" s="25">
        <f t="shared" si="257"/>
        <v>6.7143071428570719E-2</v>
      </c>
      <c r="O234" s="25">
        <f t="shared" si="231"/>
        <v>8.3191308963908295</v>
      </c>
      <c r="P234" s="25">
        <f t="shared" si="232"/>
        <v>89.26938562063458</v>
      </c>
      <c r="Q234" s="25">
        <f t="shared" si="209"/>
        <v>0.61999500000000296</v>
      </c>
      <c r="R234" s="25">
        <f t="shared" si="227"/>
        <v>0.99499821428571522</v>
      </c>
      <c r="S234" s="25">
        <f t="shared" si="224"/>
        <v>81.717500000000015</v>
      </c>
      <c r="T234" s="20">
        <v>79.715948666265035</v>
      </c>
      <c r="U234" s="20">
        <v>2.3315238946621974</v>
      </c>
      <c r="V234" s="20">
        <v>1.9019478694095462</v>
      </c>
      <c r="W234" s="20">
        <v>0.42957602525265126</v>
      </c>
    </row>
    <row r="235" spans="1:23" x14ac:dyDescent="0.35">
      <c r="A235" s="26">
        <v>43046</v>
      </c>
      <c r="B235" s="25">
        <v>84.769997000000004</v>
      </c>
      <c r="C235" s="25">
        <v>84.900002000000001</v>
      </c>
      <c r="D235" s="25">
        <v>83.93</v>
      </c>
      <c r="E235" s="25">
        <v>84.269997000000004</v>
      </c>
      <c r="F235" s="25">
        <v>17939700</v>
      </c>
      <c r="G235" s="25">
        <v>83.8489</v>
      </c>
      <c r="H235" s="19">
        <f t="shared" si="210"/>
        <v>-2.3705643855894101E-3</v>
      </c>
      <c r="I235" s="27">
        <f t="shared" si="229"/>
        <v>0.26925054013802951</v>
      </c>
      <c r="J235" s="25">
        <f t="shared" si="211"/>
        <v>-0.20000399999999274</v>
      </c>
      <c r="K235" s="25">
        <f t="shared" si="212"/>
        <v>0</v>
      </c>
      <c r="L235" s="25">
        <f t="shared" si="213"/>
        <v>0.20000399999999274</v>
      </c>
      <c r="M235" s="25">
        <f t="shared" ref="M235:N235" si="258">AVERAGE(K222:K235)</f>
        <v>0.55714307142857067</v>
      </c>
      <c r="N235" s="25">
        <f t="shared" si="258"/>
        <v>8.1429071428570213E-2</v>
      </c>
      <c r="O235" s="25">
        <f t="shared" si="231"/>
        <v>6.8420658820516946</v>
      </c>
      <c r="P235" s="25">
        <f t="shared" si="232"/>
        <v>87.248258111568262</v>
      </c>
      <c r="Q235" s="25">
        <f t="shared" si="209"/>
        <v>0.97000199999999381</v>
      </c>
      <c r="R235" s="25">
        <f t="shared" si="227"/>
        <v>1.0299987142857145</v>
      </c>
      <c r="S235" s="25">
        <f t="shared" si="224"/>
        <v>82.172499916666666</v>
      </c>
      <c r="T235" s="20">
        <v>80.053285579875038</v>
      </c>
      <c r="U235" s="20">
        <v>2.3361138178326257</v>
      </c>
      <c r="V235" s="20">
        <v>1.9887810590941621</v>
      </c>
      <c r="W235" s="20">
        <v>0.34733275873846359</v>
      </c>
    </row>
    <row r="236" spans="1:23" x14ac:dyDescent="0.35">
      <c r="A236" s="26">
        <v>43047</v>
      </c>
      <c r="B236" s="25">
        <v>84.139999000000003</v>
      </c>
      <c r="C236" s="25">
        <v>84.610000999999997</v>
      </c>
      <c r="D236" s="25">
        <v>83.830001999999993</v>
      </c>
      <c r="E236" s="25">
        <v>84.559997999999993</v>
      </c>
      <c r="F236" s="25">
        <v>18034200</v>
      </c>
      <c r="G236" s="25">
        <v>84.137450999999999</v>
      </c>
      <c r="H236" s="19">
        <f t="shared" si="210"/>
        <v>3.4354134377431768E-3</v>
      </c>
      <c r="I236" s="27">
        <f t="shared" si="229"/>
        <v>0.2693180416611417</v>
      </c>
      <c r="J236" s="25">
        <f t="shared" si="211"/>
        <v>0.29000099999998952</v>
      </c>
      <c r="K236" s="25">
        <f t="shared" si="212"/>
        <v>0.29000099999998952</v>
      </c>
      <c r="L236" s="25">
        <f t="shared" si="213"/>
        <v>0</v>
      </c>
      <c r="M236" s="25">
        <f t="shared" ref="M236:N236" si="259">AVERAGE(K223:K236)</f>
        <v>0.55642864285714111</v>
      </c>
      <c r="N236" s="25">
        <f t="shared" si="259"/>
        <v>8.1429071428570213E-2</v>
      </c>
      <c r="O236" s="25">
        <f t="shared" si="231"/>
        <v>6.8332922517143242</v>
      </c>
      <c r="P236" s="25">
        <f t="shared" si="232"/>
        <v>87.233975602261637</v>
      </c>
      <c r="Q236" s="25">
        <f t="shared" si="209"/>
        <v>0.77999900000000366</v>
      </c>
      <c r="R236" s="25">
        <f t="shared" si="227"/>
        <v>1.0442842142857143</v>
      </c>
      <c r="S236" s="25">
        <f t="shared" si="224"/>
        <v>82.64999958333334</v>
      </c>
      <c r="T236" s="20">
        <v>80.387116129513913</v>
      </c>
      <c r="U236" s="20">
        <v>2.3362215147002701</v>
      </c>
      <c r="V236" s="20">
        <v>2.0582691502153838</v>
      </c>
      <c r="W236" s="20">
        <v>0.27795236448488625</v>
      </c>
    </row>
    <row r="237" spans="1:23" x14ac:dyDescent="0.35">
      <c r="A237" s="26">
        <v>43048</v>
      </c>
      <c r="B237" s="25">
        <v>84.110000999999997</v>
      </c>
      <c r="C237" s="25">
        <v>84.269997000000004</v>
      </c>
      <c r="D237" s="25">
        <v>82.900002000000001</v>
      </c>
      <c r="E237" s="25">
        <v>84.089995999999999</v>
      </c>
      <c r="F237" s="25">
        <v>21178400</v>
      </c>
      <c r="G237" s="25">
        <v>83.669799999999995</v>
      </c>
      <c r="H237" s="19">
        <f t="shared" si="210"/>
        <v>-5.5736829949930471E-3</v>
      </c>
      <c r="I237" s="27">
        <f t="shared" si="229"/>
        <v>0.27210963115552672</v>
      </c>
      <c r="J237" s="25">
        <f t="shared" si="211"/>
        <v>-0.47000199999999381</v>
      </c>
      <c r="K237" s="25">
        <f t="shared" si="212"/>
        <v>0</v>
      </c>
      <c r="L237" s="25">
        <f t="shared" si="213"/>
        <v>0.47000199999999381</v>
      </c>
      <c r="M237" s="25">
        <f t="shared" ref="M237:N237" si="260">AVERAGE(K224:K237)</f>
        <v>0.4921433571428559</v>
      </c>
      <c r="N237" s="25">
        <f t="shared" si="260"/>
        <v>0.11500064285714119</v>
      </c>
      <c r="O237" s="25">
        <f t="shared" si="231"/>
        <v>4.2794835308374566</v>
      </c>
      <c r="P237" s="25">
        <f t="shared" si="232"/>
        <v>81.058753301170441</v>
      </c>
      <c r="Q237" s="25">
        <f t="shared" si="209"/>
        <v>1.369995000000003</v>
      </c>
      <c r="R237" s="25">
        <f t="shared" si="227"/>
        <v>1.0885695714285717</v>
      </c>
      <c r="S237" s="25">
        <f t="shared" si="224"/>
        <v>83.085832499999995</v>
      </c>
      <c r="T237" s="20">
        <v>80.661403527327707</v>
      </c>
      <c r="U237" s="20">
        <v>2.2721892485458284</v>
      </c>
      <c r="V237" s="20">
        <v>2.1010531698814727</v>
      </c>
      <c r="W237" s="20">
        <v>0.17113607866435565</v>
      </c>
    </row>
    <row r="238" spans="1:23" x14ac:dyDescent="0.35">
      <c r="A238" s="26">
        <v>43049</v>
      </c>
      <c r="B238" s="25">
        <v>83.790001000000004</v>
      </c>
      <c r="C238" s="25">
        <v>84.099997999999999</v>
      </c>
      <c r="D238" s="25">
        <v>83.230002999999996</v>
      </c>
      <c r="E238" s="25">
        <v>83.870002999999997</v>
      </c>
      <c r="F238" s="25">
        <v>19397800</v>
      </c>
      <c r="G238" s="25">
        <v>83.450905000000006</v>
      </c>
      <c r="H238" s="19">
        <f t="shared" si="210"/>
        <v>-2.6196050953407714E-3</v>
      </c>
      <c r="I238" s="27">
        <f t="shared" si="229"/>
        <v>0.2732764150067728</v>
      </c>
      <c r="J238" s="25">
        <f t="shared" si="211"/>
        <v>-0.21999300000000233</v>
      </c>
      <c r="K238" s="25">
        <f t="shared" si="212"/>
        <v>0</v>
      </c>
      <c r="L238" s="25">
        <f t="shared" si="213"/>
        <v>0.21999300000000233</v>
      </c>
      <c r="M238" s="25">
        <f t="shared" ref="M238:N238" si="261">AVERAGE(K225:K238)</f>
        <v>0.49071449999999878</v>
      </c>
      <c r="N238" s="25">
        <f t="shared" si="261"/>
        <v>0.13071442857142707</v>
      </c>
      <c r="O238" s="25">
        <f t="shared" si="231"/>
        <v>3.7540958971629879</v>
      </c>
      <c r="P238" s="25">
        <f t="shared" si="232"/>
        <v>78.965506341663172</v>
      </c>
      <c r="Q238" s="25">
        <f t="shared" si="209"/>
        <v>0.86999500000000296</v>
      </c>
      <c r="R238" s="25">
        <f t="shared" si="227"/>
        <v>1.1092839285714291</v>
      </c>
      <c r="S238" s="25">
        <f t="shared" si="224"/>
        <v>83.522499666666661</v>
      </c>
      <c r="T238" s="20">
        <v>80.899077562340466</v>
      </c>
      <c r="U238" s="20">
        <v>2.1785783249371349</v>
      </c>
      <c r="V238" s="20">
        <v>2.1165582008926052</v>
      </c>
      <c r="W238" s="20">
        <v>6.2020124044529723E-2</v>
      </c>
    </row>
    <row r="239" spans="1:23" x14ac:dyDescent="0.35">
      <c r="A239" s="26">
        <v>43052</v>
      </c>
      <c r="B239" s="25">
        <v>83.660004000000001</v>
      </c>
      <c r="C239" s="25">
        <v>83.940002000000007</v>
      </c>
      <c r="D239" s="25">
        <v>83.459998999999996</v>
      </c>
      <c r="E239" s="25">
        <v>83.93</v>
      </c>
      <c r="F239" s="25">
        <v>14196900</v>
      </c>
      <c r="G239" s="25">
        <v>83.510597000000004</v>
      </c>
      <c r="H239" s="19">
        <f t="shared" si="210"/>
        <v>7.1503911773951421E-4</v>
      </c>
      <c r="I239" s="27">
        <f t="shared" si="229"/>
        <v>0.27318405005760155</v>
      </c>
      <c r="J239" s="25">
        <f t="shared" si="211"/>
        <v>5.9997000000009848E-2</v>
      </c>
      <c r="K239" s="25">
        <f t="shared" si="212"/>
        <v>5.9997000000009848E-2</v>
      </c>
      <c r="L239" s="25">
        <f t="shared" si="213"/>
        <v>0</v>
      </c>
      <c r="M239" s="25">
        <f t="shared" ref="M239:N239" si="262">AVERAGE(K226:K239)</f>
        <v>0.4928572142857135</v>
      </c>
      <c r="N239" s="25">
        <f t="shared" si="262"/>
        <v>0.13071442857142707</v>
      </c>
      <c r="O239" s="25">
        <f t="shared" si="231"/>
        <v>3.7704882289746506</v>
      </c>
      <c r="P239" s="25">
        <f t="shared" si="232"/>
        <v>79.037784981288269</v>
      </c>
      <c r="Q239" s="25">
        <f t="shared" si="209"/>
        <v>0.48000300000001062</v>
      </c>
      <c r="R239" s="25">
        <f t="shared" si="227"/>
        <v>1.0907128571428584</v>
      </c>
      <c r="S239" s="25">
        <f t="shared" si="224"/>
        <v>83.953332833333334</v>
      </c>
      <c r="T239" s="20">
        <v>81.123590335500424</v>
      </c>
      <c r="U239" s="20">
        <v>2.0851954152729348</v>
      </c>
      <c r="V239" s="20">
        <v>2.1102856437686714</v>
      </c>
      <c r="W239" s="20">
        <v>-2.5090228495736611E-2</v>
      </c>
    </row>
    <row r="240" spans="1:23" x14ac:dyDescent="0.35">
      <c r="A240" s="26">
        <v>43053</v>
      </c>
      <c r="B240" s="25">
        <v>83.5</v>
      </c>
      <c r="C240" s="25">
        <v>84.099997999999999</v>
      </c>
      <c r="D240" s="25">
        <v>82.980002999999996</v>
      </c>
      <c r="E240" s="25">
        <v>84.050003000000004</v>
      </c>
      <c r="F240" s="25">
        <v>18801300</v>
      </c>
      <c r="G240" s="25">
        <v>83.630004999999997</v>
      </c>
      <c r="H240" s="19">
        <f t="shared" si="210"/>
        <v>1.4288331965552994E-3</v>
      </c>
      <c r="I240" s="27">
        <f t="shared" si="229"/>
        <v>0.27152716437075858</v>
      </c>
      <c r="J240" s="25">
        <f t="shared" si="211"/>
        <v>0.12000299999999697</v>
      </c>
      <c r="K240" s="25">
        <f t="shared" si="212"/>
        <v>0.12000299999999697</v>
      </c>
      <c r="L240" s="25">
        <f t="shared" si="213"/>
        <v>0</v>
      </c>
      <c r="M240" s="25">
        <f t="shared" ref="M240:N240" si="263">AVERAGE(K227:K240)</f>
        <v>0.50142885714285612</v>
      </c>
      <c r="N240" s="25">
        <f t="shared" si="263"/>
        <v>0.11428557142857036</v>
      </c>
      <c r="O240" s="25">
        <f t="shared" si="231"/>
        <v>4.3875079843850129</v>
      </c>
      <c r="P240" s="25">
        <f t="shared" si="232"/>
        <v>81.438542589665403</v>
      </c>
      <c r="Q240" s="25">
        <f t="shared" si="209"/>
        <v>1.119995000000003</v>
      </c>
      <c r="R240" s="25">
        <f t="shared" si="227"/>
        <v>1.0928556428571443</v>
      </c>
      <c r="S240" s="25">
        <f t="shared" si="224"/>
        <v>83.973333249999996</v>
      </c>
      <c r="T240" s="20">
        <v>81.340361643981879</v>
      </c>
      <c r="U240" s="20">
        <v>1.9978421451340438</v>
      </c>
      <c r="V240" s="20">
        <v>2.0877969440417461</v>
      </c>
      <c r="W240" s="20">
        <v>-8.9954798907702305E-2</v>
      </c>
    </row>
    <row r="241" spans="1:23" x14ac:dyDescent="0.35">
      <c r="A241" s="26">
        <v>43054</v>
      </c>
      <c r="B241" s="25">
        <v>83.470000999999996</v>
      </c>
      <c r="C241" s="25">
        <v>83.690002000000007</v>
      </c>
      <c r="D241" s="25">
        <v>82.690002000000007</v>
      </c>
      <c r="E241" s="25">
        <v>82.980002999999996</v>
      </c>
      <c r="F241" s="25">
        <v>19383100</v>
      </c>
      <c r="G241" s="25">
        <v>82.980002999999996</v>
      </c>
      <c r="H241" s="19">
        <f t="shared" si="210"/>
        <v>-7.8027161225791859E-3</v>
      </c>
      <c r="I241" s="27">
        <f t="shared" si="229"/>
        <v>0.27654255609537343</v>
      </c>
      <c r="J241" s="25">
        <f t="shared" si="211"/>
        <v>-1.0700000000000074</v>
      </c>
      <c r="K241" s="25">
        <f t="shared" si="212"/>
        <v>0</v>
      </c>
      <c r="L241" s="25">
        <f t="shared" si="213"/>
        <v>1.0700000000000074</v>
      </c>
      <c r="M241" s="25">
        <f t="shared" ref="M241:N241" si="264">AVERAGE(K228:K241)</f>
        <v>0.49214278571428494</v>
      </c>
      <c r="N241" s="25">
        <f t="shared" si="264"/>
        <v>0.19071414285714233</v>
      </c>
      <c r="O241" s="25">
        <f t="shared" si="231"/>
        <v>2.5805259030156606</v>
      </c>
      <c r="P241" s="25">
        <f t="shared" si="232"/>
        <v>72.071141863329061</v>
      </c>
      <c r="Q241" s="25">
        <f t="shared" si="209"/>
        <v>1</v>
      </c>
      <c r="R241" s="25">
        <f t="shared" si="227"/>
        <v>1.1164272142857155</v>
      </c>
      <c r="S241" s="25">
        <f t="shared" si="224"/>
        <v>83.897500249999993</v>
      </c>
      <c r="T241" s="20">
        <v>81.461816559242479</v>
      </c>
      <c r="U241" s="20">
        <v>1.8212794161632928</v>
      </c>
      <c r="V241" s="20">
        <v>2.0344934384660558</v>
      </c>
      <c r="W241" s="20">
        <v>-0.21321402230276298</v>
      </c>
    </row>
    <row r="242" spans="1:23" x14ac:dyDescent="0.35">
      <c r="A242" s="26">
        <v>43055</v>
      </c>
      <c r="B242" s="25">
        <v>83.099997999999999</v>
      </c>
      <c r="C242" s="25">
        <v>83.419998000000007</v>
      </c>
      <c r="D242" s="25">
        <v>82.940002000000007</v>
      </c>
      <c r="E242" s="25">
        <v>83.199996999999996</v>
      </c>
      <c r="F242" s="25">
        <v>20962800</v>
      </c>
      <c r="G242" s="25">
        <v>83.199996999999996</v>
      </c>
      <c r="H242" s="19">
        <f t="shared" si="210"/>
        <v>2.6476607114588901E-3</v>
      </c>
      <c r="I242" s="27">
        <f t="shared" si="229"/>
        <v>7.9164780400028723E-2</v>
      </c>
      <c r="J242" s="25">
        <f t="shared" si="211"/>
        <v>0.2199939999999998</v>
      </c>
      <c r="K242" s="25">
        <f t="shared" si="212"/>
        <v>0.2199939999999998</v>
      </c>
      <c r="L242" s="25">
        <f t="shared" si="213"/>
        <v>0</v>
      </c>
      <c r="M242" s="25">
        <f t="shared" ref="M242:N242" si="265">AVERAGE(K229:K242)</f>
        <v>0.14714264285714254</v>
      </c>
      <c r="N242" s="25">
        <f t="shared" si="265"/>
        <v>0.19071414285714233</v>
      </c>
      <c r="O242" s="25">
        <f t="shared" si="231"/>
        <v>0.77153503485770447</v>
      </c>
      <c r="P242" s="25">
        <f t="shared" si="232"/>
        <v>43.551779653044044</v>
      </c>
      <c r="Q242" s="25">
        <f t="shared" si="209"/>
        <v>0.47999599999999987</v>
      </c>
      <c r="R242" s="25">
        <f t="shared" si="227"/>
        <v>0.96571292857142965</v>
      </c>
      <c r="S242" s="25">
        <f t="shared" si="224"/>
        <v>83.899166666666687</v>
      </c>
      <c r="T242" s="20">
        <v>81.590570665965259</v>
      </c>
      <c r="U242" s="20">
        <v>1.6797408516857786</v>
      </c>
      <c r="V242" s="20">
        <v>1.9635429211100006</v>
      </c>
      <c r="W242" s="20">
        <v>-0.28380206942422204</v>
      </c>
    </row>
    <row r="243" spans="1:23" x14ac:dyDescent="0.35">
      <c r="A243" s="26">
        <v>43056</v>
      </c>
      <c r="B243" s="25">
        <v>83.120002999999997</v>
      </c>
      <c r="C243" s="25">
        <v>83.120002999999997</v>
      </c>
      <c r="D243" s="25">
        <v>82.239998</v>
      </c>
      <c r="E243" s="25">
        <v>82.400002000000001</v>
      </c>
      <c r="F243" s="25">
        <v>22079000</v>
      </c>
      <c r="G243" s="25">
        <v>82.400002000000001</v>
      </c>
      <c r="H243" s="19">
        <f t="shared" si="210"/>
        <v>-9.6618505821995677E-3</v>
      </c>
      <c r="I243" s="27">
        <f t="shared" si="229"/>
        <v>8.8518180420649697E-2</v>
      </c>
      <c r="J243" s="25">
        <f t="shared" si="211"/>
        <v>-0.79999499999999557</v>
      </c>
      <c r="K243" s="25">
        <f t="shared" si="212"/>
        <v>0</v>
      </c>
      <c r="L243" s="25">
        <f t="shared" si="213"/>
        <v>0.79999499999999557</v>
      </c>
      <c r="M243" s="25">
        <f t="shared" ref="M243:N243" si="266">AVERAGE(K230:K243)</f>
        <v>0.1414282857142847</v>
      </c>
      <c r="N243" s="25">
        <f t="shared" si="266"/>
        <v>0.24785664285714201</v>
      </c>
      <c r="O243" s="25">
        <f t="shared" si="231"/>
        <v>0.57060518565887386</v>
      </c>
      <c r="P243" s="25">
        <f t="shared" si="232"/>
        <v>36.330275162023177</v>
      </c>
      <c r="Q243" s="25">
        <f t="shared" si="209"/>
        <v>0.88000499999999704</v>
      </c>
      <c r="R243" s="25">
        <f t="shared" si="227"/>
        <v>0.94142750000000119</v>
      </c>
      <c r="S243" s="25">
        <f t="shared" si="224"/>
        <v>83.834166833333342</v>
      </c>
      <c r="T243" s="20">
        <v>81.650528542560423</v>
      </c>
      <c r="U243" s="20">
        <v>1.4858892031443105</v>
      </c>
      <c r="V243" s="20">
        <v>1.8680121775168628</v>
      </c>
      <c r="W243" s="20">
        <v>-0.38212297437255227</v>
      </c>
    </row>
    <row r="244" spans="1:23" x14ac:dyDescent="0.35">
      <c r="A244" s="26">
        <v>43059</v>
      </c>
      <c r="B244" s="25">
        <v>82.400002000000001</v>
      </c>
      <c r="C244" s="25">
        <v>82.589995999999999</v>
      </c>
      <c r="D244" s="25">
        <v>82.25</v>
      </c>
      <c r="E244" s="25">
        <v>82.529999000000004</v>
      </c>
      <c r="F244" s="25">
        <v>16315000</v>
      </c>
      <c r="G244" s="25">
        <v>82.529999000000004</v>
      </c>
      <c r="H244" s="19">
        <f t="shared" si="210"/>
        <v>1.5763903005164208E-3</v>
      </c>
      <c r="I244" s="27">
        <f t="shared" si="229"/>
        <v>8.1871638542562117E-2</v>
      </c>
      <c r="J244" s="25">
        <f t="shared" si="211"/>
        <v>0.12999700000000303</v>
      </c>
      <c r="K244" s="25">
        <f t="shared" si="212"/>
        <v>0.12999700000000303</v>
      </c>
      <c r="L244" s="25">
        <f t="shared" si="213"/>
        <v>0</v>
      </c>
      <c r="M244" s="25">
        <f t="shared" ref="M244:N244" si="267">AVERAGE(K231:K244)</f>
        <v>0.1507137857142849</v>
      </c>
      <c r="N244" s="25">
        <f t="shared" si="267"/>
        <v>0.197142428571428</v>
      </c>
      <c r="O244" s="25">
        <f t="shared" si="231"/>
        <v>0.7644918793301706</v>
      </c>
      <c r="P244" s="25">
        <f t="shared" si="232"/>
        <v>43.326460625048831</v>
      </c>
      <c r="Q244" s="25">
        <f t="shared" si="209"/>
        <v>0.3399959999999993</v>
      </c>
      <c r="R244" s="25">
        <f t="shared" si="227"/>
        <v>0.87642721428571535</v>
      </c>
      <c r="S244" s="25">
        <f t="shared" si="224"/>
        <v>83.70749983333333</v>
      </c>
      <c r="T244" s="20">
        <v>81.71567450237076</v>
      </c>
      <c r="U244" s="20">
        <v>1.3274480516870995</v>
      </c>
      <c r="V244" s="20">
        <v>1.7598993523509101</v>
      </c>
      <c r="W244" s="20">
        <v>-0.43245130066381066</v>
      </c>
    </row>
    <row r="245" spans="1:23" x14ac:dyDescent="0.35">
      <c r="A245" s="26">
        <v>43060</v>
      </c>
      <c r="B245" s="25">
        <v>82.739998</v>
      </c>
      <c r="C245" s="25">
        <v>83.839995999999999</v>
      </c>
      <c r="D245" s="25">
        <v>82.739998</v>
      </c>
      <c r="E245" s="25">
        <v>83.720000999999996</v>
      </c>
      <c r="F245" s="25">
        <v>21237500</v>
      </c>
      <c r="G245" s="25">
        <v>83.720000999999996</v>
      </c>
      <c r="H245" s="19">
        <f t="shared" si="210"/>
        <v>1.4316058034589197E-2</v>
      </c>
      <c r="I245" s="27">
        <f t="shared" si="229"/>
        <v>0.10249132318336822</v>
      </c>
      <c r="J245" s="25">
        <f t="shared" si="211"/>
        <v>1.1900019999999927</v>
      </c>
      <c r="K245" s="25">
        <f t="shared" si="212"/>
        <v>1.1900019999999927</v>
      </c>
      <c r="L245" s="25">
        <f t="shared" si="213"/>
        <v>0</v>
      </c>
      <c r="M245" s="25">
        <f t="shared" ref="M245:N245" si="268">AVERAGE(K232:K245)</f>
        <v>0.23571392857142723</v>
      </c>
      <c r="N245" s="25">
        <f t="shared" si="268"/>
        <v>0.197142428571428</v>
      </c>
      <c r="O245" s="25">
        <f t="shared" si="231"/>
        <v>1.1956529615644058</v>
      </c>
      <c r="P245" s="25">
        <f t="shared" si="232"/>
        <v>54.45546188285153</v>
      </c>
      <c r="Q245" s="25">
        <f t="shared" si="209"/>
        <v>1.0999979999999994</v>
      </c>
      <c r="R245" s="25">
        <f t="shared" si="227"/>
        <v>0.89214100000000129</v>
      </c>
      <c r="S245" s="25">
        <f t="shared" si="224"/>
        <v>83.672499999999999</v>
      </c>
      <c r="T245" s="20">
        <v>81.86414313182479</v>
      </c>
      <c r="U245" s="20">
        <v>1.2831145677626239</v>
      </c>
      <c r="V245" s="20">
        <v>1.664542395433253</v>
      </c>
      <c r="W245" s="20">
        <v>-0.3814278276706291</v>
      </c>
    </row>
    <row r="246" spans="1:23" x14ac:dyDescent="0.35">
      <c r="A246" s="26">
        <v>43061</v>
      </c>
      <c r="B246" s="25">
        <v>83.830001999999993</v>
      </c>
      <c r="C246" s="25">
        <v>83.900002000000001</v>
      </c>
      <c r="D246" s="25">
        <v>83.040001000000004</v>
      </c>
      <c r="E246" s="25">
        <v>83.110000999999997</v>
      </c>
      <c r="F246" s="25">
        <v>20553100</v>
      </c>
      <c r="G246" s="25">
        <v>83.110000999999997</v>
      </c>
      <c r="H246" s="19">
        <f t="shared" si="210"/>
        <v>-7.3128659251947385E-3</v>
      </c>
      <c r="I246" s="27">
        <f t="shared" si="229"/>
        <v>9.7832080206020661E-2</v>
      </c>
      <c r="J246" s="25">
        <f t="shared" si="211"/>
        <v>-0.60999999999999943</v>
      </c>
      <c r="K246" s="25">
        <f t="shared" si="212"/>
        <v>0</v>
      </c>
      <c r="L246" s="25">
        <f t="shared" si="213"/>
        <v>0.60999999999999943</v>
      </c>
      <c r="M246" s="25">
        <f t="shared" ref="M246:N246" si="269">AVERAGE(K233:K246)</f>
        <v>0.17357085714285603</v>
      </c>
      <c r="N246" s="25">
        <f t="shared" si="269"/>
        <v>0.24071385714285651</v>
      </c>
      <c r="O246" s="25">
        <f t="shared" si="231"/>
        <v>0.72106715917001363</v>
      </c>
      <c r="P246" s="25">
        <f t="shared" si="232"/>
        <v>41.896514922622138</v>
      </c>
      <c r="Q246" s="25">
        <f t="shared" si="209"/>
        <v>0.86000099999999691</v>
      </c>
      <c r="R246" s="25">
        <f t="shared" si="227"/>
        <v>0.857855642857144</v>
      </c>
      <c r="S246" s="25">
        <f t="shared" si="224"/>
        <v>83.559166666666655</v>
      </c>
      <c r="T246" s="20">
        <v>81.956428899837775</v>
      </c>
      <c r="U246" s="20">
        <v>1.185096999813112</v>
      </c>
      <c r="V246" s="20">
        <v>1.5686533163092249</v>
      </c>
      <c r="W246" s="20">
        <v>-0.38355631649611288</v>
      </c>
    </row>
    <row r="247" spans="1:23" x14ac:dyDescent="0.35">
      <c r="A247" s="26">
        <v>43063</v>
      </c>
      <c r="B247" s="25">
        <v>83.010002</v>
      </c>
      <c r="C247" s="25">
        <v>83.43</v>
      </c>
      <c r="D247" s="25">
        <v>82.779999000000004</v>
      </c>
      <c r="E247" s="25">
        <v>83.260002</v>
      </c>
      <c r="F247" s="25">
        <v>7425600</v>
      </c>
      <c r="G247" s="25">
        <v>83.260002</v>
      </c>
      <c r="H247" s="19">
        <f t="shared" si="210"/>
        <v>1.8032221907864517E-3</v>
      </c>
      <c r="I247" s="27">
        <f t="shared" si="229"/>
        <v>9.8101296893874645E-2</v>
      </c>
      <c r="J247" s="25">
        <f t="shared" si="211"/>
        <v>0.15000100000000316</v>
      </c>
      <c r="K247" s="25">
        <f t="shared" si="212"/>
        <v>0.15000100000000316</v>
      </c>
      <c r="L247" s="25">
        <f t="shared" si="213"/>
        <v>0</v>
      </c>
      <c r="M247" s="25">
        <f t="shared" ref="M247:N247" si="270">AVERAGE(K234:K247)</f>
        <v>0.17785692857142774</v>
      </c>
      <c r="N247" s="25">
        <f t="shared" si="270"/>
        <v>0.24071385714285651</v>
      </c>
      <c r="O247" s="25">
        <f t="shared" si="231"/>
        <v>0.73887282885369965</v>
      </c>
      <c r="P247" s="25">
        <f t="shared" si="232"/>
        <v>42.491481642207248</v>
      </c>
      <c r="Q247" s="25">
        <f t="shared" si="209"/>
        <v>0.65000100000000316</v>
      </c>
      <c r="R247" s="25">
        <f t="shared" si="227"/>
        <v>0.82285578571428686</v>
      </c>
      <c r="S247" s="25">
        <f t="shared" si="224"/>
        <v>83.475000416666674</v>
      </c>
      <c r="T247" s="20">
        <v>82.052989870220159</v>
      </c>
      <c r="U247" s="20">
        <v>1.1067631217921416</v>
      </c>
      <c r="V247" s="20">
        <v>1.4762752774058083</v>
      </c>
      <c r="W247" s="20">
        <v>-0.36951215561366668</v>
      </c>
    </row>
    <row r="248" spans="1:23" x14ac:dyDescent="0.35">
      <c r="A248" s="26">
        <v>43066</v>
      </c>
      <c r="B248" s="25">
        <v>83.309997999999993</v>
      </c>
      <c r="C248" s="25">
        <v>83.980002999999996</v>
      </c>
      <c r="D248" s="25">
        <v>83.300003000000004</v>
      </c>
      <c r="E248" s="25">
        <v>83.870002999999997</v>
      </c>
      <c r="F248" s="25">
        <v>18265200</v>
      </c>
      <c r="G248" s="25">
        <v>83.870002999999997</v>
      </c>
      <c r="H248" s="19">
        <f t="shared" si="210"/>
        <v>7.2997509779952141E-3</v>
      </c>
      <c r="I248" s="27">
        <f t="shared" si="229"/>
        <v>0.10195838322079098</v>
      </c>
      <c r="J248" s="25">
        <f t="shared" si="211"/>
        <v>0.61000099999999691</v>
      </c>
      <c r="K248" s="25">
        <f t="shared" si="212"/>
        <v>0.61000099999999691</v>
      </c>
      <c r="L248" s="25">
        <f t="shared" si="213"/>
        <v>0</v>
      </c>
      <c r="M248" s="25">
        <f t="shared" ref="M248:N248" si="271">AVERAGE(K235:K248)</f>
        <v>0.19785685714285656</v>
      </c>
      <c r="N248" s="25">
        <f t="shared" si="271"/>
        <v>0.24071385714285651</v>
      </c>
      <c r="O248" s="25">
        <f t="shared" si="231"/>
        <v>0.82195873345768544</v>
      </c>
      <c r="P248" s="25">
        <f t="shared" si="232"/>
        <v>45.114014843672379</v>
      </c>
      <c r="Q248" s="25">
        <f t="shared" si="209"/>
        <v>0.67999999999999261</v>
      </c>
      <c r="R248" s="25">
        <f t="shared" si="227"/>
        <v>0.82714185714285748</v>
      </c>
      <c r="S248" s="25">
        <f t="shared" si="224"/>
        <v>83.417500833333335</v>
      </c>
      <c r="T248" s="20">
        <v>82.18758343538903</v>
      </c>
      <c r="U248" s="20">
        <v>1.0814387886213837</v>
      </c>
      <c r="V248" s="20">
        <v>1.3973079796489234</v>
      </c>
      <c r="W248" s="20">
        <v>-0.31586919102753974</v>
      </c>
    </row>
    <row r="249" spans="1:23" x14ac:dyDescent="0.35">
      <c r="A249" s="26">
        <v>43067</v>
      </c>
      <c r="B249" s="25">
        <v>84.07</v>
      </c>
      <c r="C249" s="25">
        <v>85.059997999999993</v>
      </c>
      <c r="D249" s="25">
        <v>84.019997000000004</v>
      </c>
      <c r="E249" s="25">
        <v>84.879997000000003</v>
      </c>
      <c r="F249" s="25">
        <v>21926000</v>
      </c>
      <c r="G249" s="25">
        <v>84.879997000000003</v>
      </c>
      <c r="H249" s="19">
        <f t="shared" si="210"/>
        <v>1.1970442195749026E-2</v>
      </c>
      <c r="I249" s="27">
        <f t="shared" si="229"/>
        <v>0.11341786674587741</v>
      </c>
      <c r="J249" s="25">
        <f t="shared" si="211"/>
        <v>1.0099940000000061</v>
      </c>
      <c r="K249" s="25">
        <f t="shared" si="212"/>
        <v>1.0099940000000061</v>
      </c>
      <c r="L249" s="25">
        <f t="shared" si="213"/>
        <v>0</v>
      </c>
      <c r="M249" s="25">
        <f t="shared" ref="M249:N249" si="272">AVERAGE(K236:K249)</f>
        <v>0.26999928571428555</v>
      </c>
      <c r="N249" s="25">
        <f t="shared" si="272"/>
        <v>0.22642785714285704</v>
      </c>
      <c r="O249" s="25">
        <f t="shared" si="231"/>
        <v>1.1924296291155492</v>
      </c>
      <c r="P249" s="25">
        <f t="shared" si="232"/>
        <v>54.388501837415355</v>
      </c>
      <c r="Q249" s="25">
        <f t="shared" si="209"/>
        <v>1.0400009999999895</v>
      </c>
      <c r="R249" s="25">
        <f t="shared" si="227"/>
        <v>0.83214178571428576</v>
      </c>
      <c r="S249" s="25">
        <f t="shared" si="224"/>
        <v>83.483334249999999</v>
      </c>
      <c r="T249" s="20">
        <v>82.387021477212073</v>
      </c>
      <c r="U249" s="20">
        <v>1.1298430200275078</v>
      </c>
      <c r="V249" s="20">
        <v>1.3438149877246404</v>
      </c>
      <c r="W249" s="20">
        <v>-0.21397196769713256</v>
      </c>
    </row>
    <row r="250" spans="1:23" x14ac:dyDescent="0.35">
      <c r="A250" s="26">
        <v>43068</v>
      </c>
      <c r="B250" s="25">
        <v>84.709998999999996</v>
      </c>
      <c r="C250" s="25">
        <v>84.919998000000007</v>
      </c>
      <c r="D250" s="25">
        <v>83.18</v>
      </c>
      <c r="E250" s="25">
        <v>83.339995999999999</v>
      </c>
      <c r="F250" s="25">
        <v>27381100</v>
      </c>
      <c r="G250" s="25">
        <v>83.339995999999999</v>
      </c>
      <c r="H250" s="19">
        <f t="shared" si="210"/>
        <v>-1.8309880963566082E-2</v>
      </c>
      <c r="I250" s="27">
        <f t="shared" si="229"/>
        <v>0.13861753284187237</v>
      </c>
      <c r="J250" s="25">
        <f t="shared" si="211"/>
        <v>-1.5400010000000037</v>
      </c>
      <c r="K250" s="25">
        <f t="shared" si="212"/>
        <v>0</v>
      </c>
      <c r="L250" s="25">
        <f t="shared" si="213"/>
        <v>1.5400010000000037</v>
      </c>
      <c r="M250" s="25">
        <f t="shared" ref="M250:N250" si="273">AVERAGE(K237:K250)</f>
        <v>0.24928492857142917</v>
      </c>
      <c r="N250" s="25">
        <f t="shared" si="273"/>
        <v>0.33642792857142872</v>
      </c>
      <c r="O250" s="25">
        <f t="shared" si="231"/>
        <v>0.74097572585595317</v>
      </c>
      <c r="P250" s="25">
        <f t="shared" si="232"/>
        <v>42.560945270598275</v>
      </c>
      <c r="Q250" s="25">
        <f t="shared" si="209"/>
        <v>1.7399979999999999</v>
      </c>
      <c r="R250" s="25">
        <f t="shared" si="227"/>
        <v>0.90071314285714266</v>
      </c>
      <c r="S250" s="25">
        <f t="shared" si="224"/>
        <v>83.439167000000012</v>
      </c>
      <c r="T250" s="20">
        <v>82.457612182603768</v>
      </c>
      <c r="U250" s="20">
        <v>1.0320417765989589</v>
      </c>
      <c r="V250" s="20">
        <v>1.2814603454995042</v>
      </c>
      <c r="W250" s="20">
        <v>-0.24941856890054526</v>
      </c>
    </row>
    <row r="251" spans="1:23" x14ac:dyDescent="0.35">
      <c r="A251" s="26">
        <v>43069</v>
      </c>
      <c r="B251" s="25">
        <v>83.510002</v>
      </c>
      <c r="C251" s="25">
        <v>84.519997000000004</v>
      </c>
      <c r="D251" s="25">
        <v>83.339995999999999</v>
      </c>
      <c r="E251" s="25">
        <v>84.169998000000007</v>
      </c>
      <c r="F251" s="25">
        <v>33054600</v>
      </c>
      <c r="G251" s="25">
        <v>84.169998000000007</v>
      </c>
      <c r="H251" s="19">
        <f t="shared" si="210"/>
        <v>9.9099614639035095E-3</v>
      </c>
      <c r="I251" s="27">
        <f t="shared" si="229"/>
        <v>0.14350161064246877</v>
      </c>
      <c r="J251" s="25">
        <f t="shared" si="211"/>
        <v>0.83000200000000746</v>
      </c>
      <c r="K251" s="25">
        <f t="shared" si="212"/>
        <v>0.83000200000000746</v>
      </c>
      <c r="L251" s="25">
        <f t="shared" si="213"/>
        <v>0</v>
      </c>
      <c r="M251" s="25">
        <f t="shared" ref="M251:N251" si="274">AVERAGE(K238:K251)</f>
        <v>0.30857078571428687</v>
      </c>
      <c r="N251" s="25">
        <f t="shared" si="274"/>
        <v>0.30285635714285775</v>
      </c>
      <c r="O251" s="25">
        <f t="shared" si="231"/>
        <v>1.0188684451775718</v>
      </c>
      <c r="P251" s="25">
        <f t="shared" si="232"/>
        <v>50.467302493697453</v>
      </c>
      <c r="Q251" s="25">
        <f t="shared" si="209"/>
        <v>1.1800010000000043</v>
      </c>
      <c r="R251" s="25">
        <f t="shared" si="227"/>
        <v>0.88714214285714277</v>
      </c>
      <c r="S251" s="25">
        <f t="shared" si="224"/>
        <v>83.459166833333327</v>
      </c>
      <c r="T251" s="20">
        <v>82.58445557648497</v>
      </c>
      <c r="U251" s="20">
        <v>1.0098666966865721</v>
      </c>
      <c r="V251" s="20">
        <v>1.2271416157369177</v>
      </c>
      <c r="W251" s="20">
        <v>-0.21727491905034557</v>
      </c>
    </row>
    <row r="252" spans="1:23" x14ac:dyDescent="0.35">
      <c r="A252" s="26">
        <v>43070</v>
      </c>
      <c r="B252" s="25">
        <v>83.599997999999999</v>
      </c>
      <c r="C252" s="25">
        <v>84.809997999999993</v>
      </c>
      <c r="D252" s="25">
        <v>83.220000999999996</v>
      </c>
      <c r="E252" s="25">
        <v>84.260002</v>
      </c>
      <c r="F252" s="25">
        <v>29287900</v>
      </c>
      <c r="G252" s="25">
        <v>84.260002</v>
      </c>
      <c r="H252" s="19">
        <f t="shared" si="210"/>
        <v>1.0687408248758407E-3</v>
      </c>
      <c r="I252" s="27">
        <f t="shared" si="229"/>
        <v>0.14283597051211086</v>
      </c>
      <c r="J252" s="25">
        <f t="shared" si="211"/>
        <v>9.0003999999993312E-2</v>
      </c>
      <c r="K252" s="25">
        <f t="shared" si="212"/>
        <v>9.0003999999993312E-2</v>
      </c>
      <c r="L252" s="25">
        <f t="shared" si="213"/>
        <v>0</v>
      </c>
      <c r="M252" s="25">
        <f t="shared" ref="M252:N252" si="275">AVERAGE(K239:K252)</f>
        <v>0.31499964285714349</v>
      </c>
      <c r="N252" s="25">
        <f t="shared" si="275"/>
        <v>0.28714257142857186</v>
      </c>
      <c r="O252" s="25">
        <f t="shared" si="231"/>
        <v>1.0970147731490285</v>
      </c>
      <c r="P252" s="25">
        <f t="shared" si="232"/>
        <v>52.313163798158278</v>
      </c>
      <c r="Q252" s="25">
        <f t="shared" si="209"/>
        <v>1.5899969999999968</v>
      </c>
      <c r="R252" s="25">
        <f t="shared" si="227"/>
        <v>0.9385708571428566</v>
      </c>
      <c r="S252" s="25">
        <f t="shared" si="224"/>
        <v>83.476666750000007</v>
      </c>
      <c r="T252" s="20">
        <v>82.70857012637498</v>
      </c>
      <c r="U252" s="20">
        <v>0.98816441246248132</v>
      </c>
      <c r="V252" s="20">
        <v>1.1793461750820304</v>
      </c>
      <c r="W252" s="20">
        <v>-0.19118176261954911</v>
      </c>
    </row>
    <row r="253" spans="1:23" x14ac:dyDescent="0.35">
      <c r="K253" s="25"/>
      <c r="L253" s="25"/>
      <c r="R253" s="25"/>
    </row>
    <row r="254" spans="1:23" x14ac:dyDescent="0.35">
      <c r="K254" s="25"/>
      <c r="L254" s="25"/>
      <c r="R254" s="25"/>
    </row>
    <row r="255" spans="1:23" x14ac:dyDescent="0.35">
      <c r="K255" s="25"/>
      <c r="L255" s="25"/>
      <c r="R255" s="25"/>
    </row>
    <row r="256" spans="1:23" x14ac:dyDescent="0.35">
      <c r="K256" s="25"/>
      <c r="L256" s="25"/>
      <c r="R256" s="25"/>
    </row>
    <row r="257" spans="11:18" x14ac:dyDescent="0.35">
      <c r="K257" s="25"/>
      <c r="L257" s="25"/>
      <c r="R257" s="25"/>
    </row>
    <row r="258" spans="11:18" x14ac:dyDescent="0.35">
      <c r="K258" s="25"/>
      <c r="L258" s="25"/>
      <c r="R258" s="25"/>
    </row>
    <row r="259" spans="11:18" x14ac:dyDescent="0.35">
      <c r="K259" s="25"/>
      <c r="L259" s="25"/>
      <c r="R259" s="25"/>
    </row>
    <row r="260" spans="11:18" x14ac:dyDescent="0.35">
      <c r="K260" s="25"/>
      <c r="L260" s="25"/>
      <c r="R260" s="25"/>
    </row>
    <row r="261" spans="11:18" x14ac:dyDescent="0.35">
      <c r="K261" s="25"/>
      <c r="L261" s="25"/>
    </row>
    <row r="262" spans="11:18" x14ac:dyDescent="0.35">
      <c r="K262" s="25"/>
      <c r="L262" s="25"/>
    </row>
    <row r="263" spans="11:18" x14ac:dyDescent="0.35">
      <c r="K263" s="25"/>
      <c r="L263" s="25"/>
    </row>
    <row r="264" spans="11:18" x14ac:dyDescent="0.35">
      <c r="K264" s="25"/>
      <c r="L264" s="25"/>
    </row>
    <row r="265" spans="11:18" x14ac:dyDescent="0.35">
      <c r="K265" s="25"/>
      <c r="L265" s="25"/>
    </row>
    <row r="266" spans="11:18" x14ac:dyDescent="0.35">
      <c r="K266" s="25"/>
      <c r="L266" s="25"/>
    </row>
    <row r="267" spans="11:18" x14ac:dyDescent="0.35">
      <c r="K267" s="25"/>
      <c r="L267" s="25"/>
    </row>
    <row r="268" spans="11:18" x14ac:dyDescent="0.35">
      <c r="K268" s="25"/>
      <c r="L268" s="25"/>
    </row>
    <row r="269" spans="11:18" x14ac:dyDescent="0.35">
      <c r="K269" s="25"/>
      <c r="L269" s="25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2:G22"/>
  <sheetViews>
    <sheetView workbookViewId="0">
      <selection activeCell="B21" sqref="B21"/>
    </sheetView>
  </sheetViews>
  <sheetFormatPr defaultRowHeight="14.5" x14ac:dyDescent="0.35"/>
  <cols>
    <col min="1" max="1" width="17.7265625" customWidth="1"/>
    <col min="2" max="2" width="16.54296875" customWidth="1"/>
    <col min="3" max="3" width="11.81640625" bestFit="1" customWidth="1"/>
    <col min="6" max="6" width="14.54296875" customWidth="1"/>
    <col min="7" max="7" width="10" bestFit="1" customWidth="1"/>
  </cols>
  <sheetData>
    <row r="2" spans="1:7" ht="21" x14ac:dyDescent="0.5">
      <c r="A2" s="1" t="s">
        <v>11</v>
      </c>
    </row>
    <row r="3" spans="1:7" x14ac:dyDescent="0.35">
      <c r="A3" s="3" t="s">
        <v>34</v>
      </c>
      <c r="B3" s="3"/>
      <c r="C3" s="3"/>
      <c r="D3" s="3"/>
      <c r="E3" s="15"/>
      <c r="F3" s="17"/>
      <c r="G3" s="18"/>
    </row>
    <row r="4" spans="1:7" x14ac:dyDescent="0.35">
      <c r="A4" s="3"/>
      <c r="B4" s="3"/>
      <c r="C4" s="3"/>
      <c r="D4" s="3"/>
      <c r="E4" s="16"/>
      <c r="F4" s="16"/>
      <c r="G4" s="16"/>
    </row>
    <row r="5" spans="1:7" x14ac:dyDescent="0.35">
      <c r="A5" s="8" t="s">
        <v>37</v>
      </c>
      <c r="B5" s="9" t="s">
        <v>38</v>
      </c>
      <c r="C5" s="10" t="s">
        <v>43</v>
      </c>
      <c r="D5" s="10"/>
      <c r="E5" s="8" t="s">
        <v>37</v>
      </c>
      <c r="F5" s="9" t="s">
        <v>38</v>
      </c>
      <c r="G5" s="10" t="s">
        <v>44</v>
      </c>
    </row>
    <row r="6" spans="1:7" x14ac:dyDescent="0.35">
      <c r="A6" s="8" t="s">
        <v>0</v>
      </c>
      <c r="B6" s="5" t="s">
        <v>29</v>
      </c>
      <c r="C6" s="10">
        <f>MSFT!G252</f>
        <v>84.260002</v>
      </c>
      <c r="D6" s="12"/>
      <c r="E6" s="6"/>
      <c r="F6" s="5"/>
      <c r="G6" s="4"/>
    </row>
    <row r="7" spans="1:7" x14ac:dyDescent="0.35">
      <c r="A7" s="8" t="s">
        <v>1</v>
      </c>
      <c r="B7" s="5" t="s">
        <v>30</v>
      </c>
      <c r="C7" s="10">
        <f>MSFT!G252</f>
        <v>84.260002</v>
      </c>
      <c r="D7" s="12"/>
      <c r="E7" s="6"/>
      <c r="F7" s="5"/>
      <c r="G7" s="4"/>
    </row>
    <row r="8" spans="1:7" x14ac:dyDescent="0.35">
      <c r="A8" s="8" t="s">
        <v>2</v>
      </c>
      <c r="B8" s="5" t="s">
        <v>33</v>
      </c>
      <c r="C8" s="10">
        <v>1</v>
      </c>
      <c r="D8" s="12"/>
      <c r="E8" s="6"/>
      <c r="F8" s="5"/>
      <c r="G8" s="4"/>
    </row>
    <row r="9" spans="1:7" x14ac:dyDescent="0.35">
      <c r="A9" s="8" t="s">
        <v>3</v>
      </c>
      <c r="B9" s="5" t="s">
        <v>32</v>
      </c>
      <c r="C9" s="22">
        <f>MSFT!I252</f>
        <v>0.14283597051211086</v>
      </c>
      <c r="D9" s="12"/>
      <c r="E9" s="6"/>
      <c r="F9" s="5"/>
      <c r="G9" s="4"/>
    </row>
    <row r="10" spans="1:7" x14ac:dyDescent="0.35">
      <c r="A10" s="8" t="s">
        <v>4</v>
      </c>
      <c r="B10" s="5" t="s">
        <v>31</v>
      </c>
      <c r="C10" s="10">
        <v>1E-3</v>
      </c>
      <c r="D10" s="12"/>
      <c r="E10" s="6"/>
      <c r="F10" s="5"/>
      <c r="G10" s="4"/>
    </row>
    <row r="11" spans="1:7" x14ac:dyDescent="0.35">
      <c r="A11" s="8"/>
      <c r="B11" s="5"/>
      <c r="C11" s="10"/>
      <c r="D11" s="12"/>
      <c r="E11" s="6"/>
      <c r="F11" s="5"/>
      <c r="G11" s="4"/>
    </row>
    <row r="12" spans="1:7" x14ac:dyDescent="0.35">
      <c r="A12" s="8" t="s">
        <v>5</v>
      </c>
      <c r="B12" s="5" t="s">
        <v>41</v>
      </c>
      <c r="C12" s="13">
        <f>(LN(C6/C7)+(C10+(C9*C9)/2)*C8)/(C9*SQRT(C8))</f>
        <v>7.8419022854740769E-2</v>
      </c>
      <c r="D12" s="12"/>
      <c r="E12" s="8" t="s">
        <v>36</v>
      </c>
      <c r="F12" s="5" t="s">
        <v>45</v>
      </c>
      <c r="G12" s="11">
        <f>-C12</f>
        <v>-7.8419022854740769E-2</v>
      </c>
    </row>
    <row r="13" spans="1:7" x14ac:dyDescent="0.35">
      <c r="A13" s="8" t="s">
        <v>6</v>
      </c>
      <c r="B13" s="5" t="s">
        <v>42</v>
      </c>
      <c r="C13" s="13">
        <f>C12-C9*SQRT(C8)</f>
        <v>-6.4416947657370091E-2</v>
      </c>
      <c r="D13" s="12"/>
      <c r="E13" s="8" t="s">
        <v>35</v>
      </c>
      <c r="F13" s="5" t="s">
        <v>46</v>
      </c>
      <c r="G13" s="11">
        <f>-C13</f>
        <v>6.4416947657370091E-2</v>
      </c>
    </row>
    <row r="14" spans="1:7" x14ac:dyDescent="0.35">
      <c r="A14" s="6"/>
      <c r="B14" s="5"/>
      <c r="C14" s="4"/>
      <c r="D14" s="12"/>
      <c r="E14" s="6"/>
      <c r="F14" s="5"/>
      <c r="G14" s="4"/>
    </row>
    <row r="15" spans="1:7" x14ac:dyDescent="0.35">
      <c r="A15" s="8" t="s">
        <v>7</v>
      </c>
      <c r="B15" s="5" t="s">
        <v>47</v>
      </c>
      <c r="C15" s="10">
        <f>_xlfn.NORM.S.DIST(C12, TRUE)</f>
        <v>0.5312526289617826</v>
      </c>
      <c r="D15" s="12"/>
      <c r="E15" s="8" t="s">
        <v>9</v>
      </c>
      <c r="F15" s="5" t="s">
        <v>49</v>
      </c>
      <c r="G15" s="10">
        <f>_xlfn.NORM.S.DIST(-C12, TRUE)</f>
        <v>0.4687473710382174</v>
      </c>
    </row>
    <row r="16" spans="1:7" x14ac:dyDescent="0.35">
      <c r="A16" s="8" t="s">
        <v>8</v>
      </c>
      <c r="B16" s="5" t="s">
        <v>48</v>
      </c>
      <c r="C16" s="10">
        <f>_xlfn.NORM.S.DIST(C13, TRUE)</f>
        <v>0.47431911788676817</v>
      </c>
      <c r="D16" s="12"/>
      <c r="E16" s="8" t="s">
        <v>10</v>
      </c>
      <c r="F16" s="5" t="s">
        <v>50</v>
      </c>
      <c r="G16" s="10">
        <f>_xlfn.NORM.S.DIST(-C13, TRUE)</f>
        <v>0.52568088211323183</v>
      </c>
    </row>
    <row r="17" spans="1:7" x14ac:dyDescent="0.35">
      <c r="A17" s="6"/>
      <c r="B17" s="5"/>
      <c r="C17" s="4"/>
      <c r="D17" s="12"/>
      <c r="E17" s="6"/>
      <c r="F17" s="5"/>
      <c r="G17" s="4"/>
    </row>
    <row r="18" spans="1:7" x14ac:dyDescent="0.35">
      <c r="A18" s="8" t="s">
        <v>39</v>
      </c>
      <c r="B18" s="9" t="s">
        <v>20</v>
      </c>
      <c r="C18" s="14">
        <f>C6*C15-C7*EXP(-C8*C10)*C16</f>
        <v>4.837163910463957</v>
      </c>
      <c r="D18" s="12"/>
      <c r="E18" s="6"/>
      <c r="F18" s="5"/>
      <c r="G18" s="4"/>
    </row>
    <row r="19" spans="1:7" x14ac:dyDescent="0.35">
      <c r="A19" s="8" t="s">
        <v>40</v>
      </c>
      <c r="B19" s="9" t="s">
        <v>21</v>
      </c>
      <c r="C19" s="14">
        <f>C7*EXP(-C10*C8)*G16-C6*G15</f>
        <v>4.7529460244251425</v>
      </c>
      <c r="D19" s="12"/>
      <c r="E19" s="6"/>
      <c r="F19" s="5"/>
      <c r="G19" s="4"/>
    </row>
    <row r="20" spans="1:7" x14ac:dyDescent="0.35">
      <c r="A20" s="7"/>
    </row>
    <row r="22" spans="1:7" x14ac:dyDescent="0.35">
      <c r="B22" s="2"/>
    </row>
  </sheetData>
  <pageMargins left="0.7" right="0.7" top="0.75" bottom="0.75" header="0.3" footer="0.3"/>
  <pageSetup orientation="portrait" horizontalDpi="4294967293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3:L9"/>
  <sheetViews>
    <sheetView workbookViewId="0">
      <selection activeCell="M16" sqref="M16"/>
    </sheetView>
  </sheetViews>
  <sheetFormatPr defaultRowHeight="14.5" x14ac:dyDescent="0.35"/>
  <sheetData>
    <row r="3" spans="1:12" x14ac:dyDescent="0.35">
      <c r="A3" s="41" t="s">
        <v>66</v>
      </c>
      <c r="B3" s="45"/>
      <c r="C3" s="46"/>
      <c r="E3" s="41" t="s">
        <v>67</v>
      </c>
      <c r="F3" s="42"/>
      <c r="G3" s="43"/>
      <c r="H3" s="44"/>
      <c r="J3" s="50" t="s">
        <v>67</v>
      </c>
      <c r="K3" s="51"/>
      <c r="L3" s="52"/>
    </row>
    <row r="4" spans="1:12" x14ac:dyDescent="0.35">
      <c r="A4" s="39" t="s">
        <v>70</v>
      </c>
      <c r="B4" s="28"/>
      <c r="C4" s="29">
        <f>MSFT!G252</f>
        <v>84.260002</v>
      </c>
      <c r="E4" s="38" t="s">
        <v>75</v>
      </c>
      <c r="F4" s="28"/>
      <c r="G4" s="34"/>
      <c r="H4" s="35">
        <f>C5*EXP(-C7*C6)</f>
        <v>84.175784113961186</v>
      </c>
      <c r="J4" s="47" t="s">
        <v>20</v>
      </c>
      <c r="K4" s="48"/>
      <c r="L4" s="49">
        <f>H8*C4-NORMDIST(H7,0,1,TRUE)*H4</f>
        <v>4.837163910463957</v>
      </c>
    </row>
    <row r="5" spans="1:12" x14ac:dyDescent="0.35">
      <c r="A5" s="39" t="s">
        <v>71</v>
      </c>
      <c r="B5" s="28"/>
      <c r="C5" s="29">
        <f>MSFT!G252</f>
        <v>84.260002</v>
      </c>
      <c r="E5" s="36" t="s">
        <v>68</v>
      </c>
      <c r="F5" s="28"/>
      <c r="G5" s="34"/>
      <c r="H5" s="35">
        <f>MSFT!I252</f>
        <v>0.14283597051211086</v>
      </c>
      <c r="J5" s="9" t="s">
        <v>21</v>
      </c>
      <c r="K5" s="68"/>
      <c r="L5" s="69">
        <f>L4+H4-C4</f>
        <v>4.7529460244251425</v>
      </c>
    </row>
    <row r="6" spans="1:12" x14ac:dyDescent="0.35">
      <c r="A6" s="39" t="s">
        <v>72</v>
      </c>
      <c r="B6" s="28"/>
      <c r="C6" s="29">
        <v>1</v>
      </c>
      <c r="E6" s="33" t="s">
        <v>5</v>
      </c>
      <c r="F6" s="28"/>
      <c r="G6" s="34"/>
      <c r="H6" s="35">
        <f>(LN(C4/C5)+(C7+C8*C8/2)*C6)/(C8*C6^0.5)</f>
        <v>7.8419022854740769E-2</v>
      </c>
    </row>
    <row r="7" spans="1:12" x14ac:dyDescent="0.35">
      <c r="A7" s="39" t="s">
        <v>73</v>
      </c>
      <c r="B7" s="28"/>
      <c r="C7" s="30">
        <v>1E-3</v>
      </c>
      <c r="E7" s="33" t="s">
        <v>6</v>
      </c>
      <c r="F7" s="28"/>
      <c r="G7" s="34"/>
      <c r="H7" s="35">
        <f>H6-H5*SQRT(C6)</f>
        <v>-6.4416947657370091E-2</v>
      </c>
    </row>
    <row r="8" spans="1:12" ht="15" thickBot="1" x14ac:dyDescent="0.4">
      <c r="A8" s="40" t="s">
        <v>74</v>
      </c>
      <c r="B8" s="31"/>
      <c r="C8" s="32">
        <f>MSFT!I252</f>
        <v>0.14283597051211086</v>
      </c>
      <c r="E8" s="33" t="s">
        <v>69</v>
      </c>
      <c r="F8" s="28"/>
      <c r="G8" s="34"/>
      <c r="H8" s="35">
        <f>NORMDIST(H6,0,1,TRUE)</f>
        <v>0.5312526289617826</v>
      </c>
    </row>
    <row r="9" spans="1:12" x14ac:dyDescent="0.35">
      <c r="E9" s="53" t="s">
        <v>76</v>
      </c>
      <c r="F9" s="37"/>
      <c r="G9" s="37"/>
      <c r="H9" s="54">
        <f>NORMDIST(H7,0,1,TRUE)</f>
        <v>0.47431911788676817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G12"/>
  <sheetViews>
    <sheetView tabSelected="1" workbookViewId="0">
      <selection activeCell="F9" sqref="F9"/>
    </sheetView>
  </sheetViews>
  <sheetFormatPr defaultRowHeight="14.5" x14ac:dyDescent="0.35"/>
  <sheetData>
    <row r="1" spans="1:7" x14ac:dyDescent="0.35">
      <c r="A1" s="56"/>
      <c r="B1" s="57"/>
      <c r="C1" s="56"/>
      <c r="D1" s="56"/>
      <c r="E1" s="56"/>
      <c r="F1" s="56"/>
      <c r="G1" s="56"/>
    </row>
    <row r="2" spans="1:7" x14ac:dyDescent="0.35">
      <c r="A2" s="64" t="s">
        <v>89</v>
      </c>
      <c r="B2" s="65" t="s">
        <v>90</v>
      </c>
      <c r="C2" s="56"/>
      <c r="D2" s="66" t="s">
        <v>77</v>
      </c>
      <c r="E2" s="67" t="s">
        <v>78</v>
      </c>
      <c r="F2" s="67" t="s">
        <v>79</v>
      </c>
      <c r="G2" s="56"/>
    </row>
    <row r="3" spans="1:7" x14ac:dyDescent="0.35">
      <c r="A3" s="58" t="s">
        <v>70</v>
      </c>
      <c r="B3" s="59">
        <v>84.260002</v>
      </c>
      <c r="C3" s="56"/>
      <c r="D3" s="58" t="s">
        <v>80</v>
      </c>
      <c r="E3" s="63">
        <f>optionPrice("C",Stock_Price,Strike_Price,TimeToExpiry,Risk_Free_Rate,Volatility2,Dividend2)</f>
        <v>4.8359584774774476</v>
      </c>
      <c r="F3" s="63">
        <f>optionPrice("P",Stock_Price,Strike_Price,TimeToExpiry,Risk_Free_Rate,Volatility2,Dividend2)</f>
        <v>4.751740591438633</v>
      </c>
      <c r="G3" s="56"/>
    </row>
    <row r="4" spans="1:7" x14ac:dyDescent="0.35">
      <c r="A4" s="58" t="s">
        <v>81</v>
      </c>
      <c r="B4" s="59">
        <v>84.260002</v>
      </c>
      <c r="C4" s="56"/>
      <c r="D4" s="58" t="s">
        <v>82</v>
      </c>
      <c r="E4" s="63">
        <f>OptionDelta("C",Stock_Price,Strike_Price,TimeToExpiry,Risk_Free_Rate,Volatility2,Dividend2)</f>
        <v>0.53124617728994217</v>
      </c>
      <c r="F4" s="63">
        <f>OptionDelta("P",Stock_Price,Strike_Price,TimeToExpiry,Risk_Free_Rate,Volatility2,Dividend2)</f>
        <v>-0.46875382271005783</v>
      </c>
      <c r="G4" s="56"/>
    </row>
    <row r="5" spans="1:7" x14ac:dyDescent="0.35">
      <c r="A5" s="58" t="s">
        <v>83</v>
      </c>
      <c r="B5" s="60">
        <v>1</v>
      </c>
      <c r="C5" s="56"/>
      <c r="D5" s="58" t="s">
        <v>84</v>
      </c>
      <c r="E5" s="63">
        <f>OptionTheta("C",StockPrice,Strike_Price,TimeToExpiry,Risk_Free_Rate,Volatility2,Dividend2)</f>
        <v>-6.4460548168823462E-3</v>
      </c>
      <c r="F5" s="63">
        <f>OptionTheta("P",Stock_Price,Strike_Price,TimeToExpiry,Risk_Free_Rate,Volatility2,Dividend2)</f>
        <v>-6.6766734034959373E-3</v>
      </c>
      <c r="G5" s="56"/>
    </row>
    <row r="6" spans="1:7" x14ac:dyDescent="0.35">
      <c r="A6" s="58" t="s">
        <v>32</v>
      </c>
      <c r="B6" s="59">
        <v>0.14279999999999998</v>
      </c>
      <c r="C6" s="56"/>
      <c r="D6" s="58" t="s">
        <v>86</v>
      </c>
      <c r="E6" s="63">
        <f>vega(Stock_Price,Strike_Price,TimeToExpiry,Risk_Free_Rate,Volatility2,Dividend2)</f>
        <v>0.33511720639293019</v>
      </c>
      <c r="F6" s="63">
        <f>vega(Stock_Price,Strike_Price,TimeToExpiry,Risk_Free_Rate,Volatility2,Dividend2)</f>
        <v>0.33511720639293019</v>
      </c>
      <c r="G6" s="56"/>
    </row>
    <row r="7" spans="1:7" x14ac:dyDescent="0.35">
      <c r="A7" s="58" t="s">
        <v>85</v>
      </c>
      <c r="B7" s="61">
        <v>1E-3</v>
      </c>
      <c r="C7" s="56"/>
      <c r="D7" s="58" t="s">
        <v>88</v>
      </c>
      <c r="E7" s="63">
        <f>OptionRho("C",Stock_Price,Strike_Price,TimeToExpiry,Risk_Free_Rate,Volatility2,Dividend2)</f>
        <v>0.39926845483465434</v>
      </c>
      <c r="F7" s="63">
        <f>OptionRho("P",Stock_Price,Strike_Price,TimeToExpiry,Risk_Free_Rate,Volatility2,Dividend2)</f>
        <v>-0.44248938630495754</v>
      </c>
      <c r="G7" s="56"/>
    </row>
    <row r="8" spans="1:7" x14ac:dyDescent="0.35">
      <c r="A8" s="58" t="s">
        <v>87</v>
      </c>
      <c r="B8" s="62">
        <v>0</v>
      </c>
      <c r="C8" s="55"/>
      <c r="G8" s="56"/>
    </row>
    <row r="9" spans="1:7" x14ac:dyDescent="0.35">
      <c r="G9" s="56"/>
    </row>
    <row r="10" spans="1:7" x14ac:dyDescent="0.35">
      <c r="G10" s="56"/>
    </row>
    <row r="11" spans="1:7" x14ac:dyDescent="0.35">
      <c r="G11" s="55"/>
    </row>
    <row r="12" spans="1:7" x14ac:dyDescent="0.35">
      <c r="G12" s="56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L27"/>
  <sheetViews>
    <sheetView workbookViewId="0">
      <selection activeCell="I18" sqref="I18"/>
    </sheetView>
  </sheetViews>
  <sheetFormatPr defaultRowHeight="14.5" x14ac:dyDescent="0.35"/>
  <cols>
    <col min="13" max="13" width="8.7265625" customWidth="1"/>
  </cols>
  <sheetData>
    <row r="1" spans="1:12" x14ac:dyDescent="0.35">
      <c r="A1" s="70" t="s">
        <v>105</v>
      </c>
    </row>
    <row r="3" spans="1:12" x14ac:dyDescent="0.35">
      <c r="A3" s="87" t="s">
        <v>89</v>
      </c>
      <c r="B3" s="88" t="s">
        <v>104</v>
      </c>
      <c r="C3" s="88"/>
      <c r="D3" s="89"/>
      <c r="E3" s="90" t="s">
        <v>89</v>
      </c>
      <c r="F3" s="88" t="s">
        <v>104</v>
      </c>
      <c r="G3" s="91"/>
      <c r="H3" s="92"/>
      <c r="I3" s="92"/>
      <c r="J3" s="92"/>
      <c r="K3" s="92"/>
      <c r="L3" s="93"/>
    </row>
    <row r="4" spans="1:12" x14ac:dyDescent="0.35">
      <c r="A4" s="76" t="s">
        <v>17</v>
      </c>
      <c r="B4" s="80">
        <v>1.0512999999999999</v>
      </c>
      <c r="C4" s="86" t="s">
        <v>102</v>
      </c>
      <c r="D4" s="75"/>
      <c r="E4" s="80" t="s">
        <v>0</v>
      </c>
      <c r="F4" s="80">
        <v>123</v>
      </c>
      <c r="G4" s="75"/>
      <c r="H4" s="34"/>
      <c r="I4" s="34"/>
      <c r="J4" s="34"/>
      <c r="K4" s="34"/>
      <c r="L4" s="72"/>
    </row>
    <row r="5" spans="1:12" x14ac:dyDescent="0.35">
      <c r="A5" s="76" t="s">
        <v>14</v>
      </c>
      <c r="B5" s="71">
        <v>0.95120000000000005</v>
      </c>
      <c r="C5" s="34" t="s">
        <v>103</v>
      </c>
      <c r="D5" s="72"/>
      <c r="E5" s="71" t="s">
        <v>3</v>
      </c>
      <c r="F5" s="71">
        <v>0.05</v>
      </c>
      <c r="G5" s="72"/>
      <c r="H5" s="34"/>
      <c r="I5" s="34"/>
      <c r="J5" s="34"/>
      <c r="K5" s="34"/>
      <c r="L5" s="72"/>
    </row>
    <row r="6" spans="1:12" x14ac:dyDescent="0.35">
      <c r="A6" s="76" t="s">
        <v>4</v>
      </c>
      <c r="B6" s="71">
        <v>0.01</v>
      </c>
      <c r="C6" s="34" t="s">
        <v>101</v>
      </c>
      <c r="D6" s="72"/>
      <c r="E6" s="71" t="s">
        <v>12</v>
      </c>
      <c r="F6" s="71">
        <v>1</v>
      </c>
      <c r="G6" s="72"/>
      <c r="H6" s="34"/>
      <c r="I6" s="34"/>
      <c r="J6" s="34"/>
      <c r="K6" s="34"/>
      <c r="L6" s="73">
        <f>H10*F9</f>
        <v>129.30634485425097</v>
      </c>
    </row>
    <row r="7" spans="1:12" x14ac:dyDescent="0.35">
      <c r="A7" s="76" t="s">
        <v>92</v>
      </c>
      <c r="B7" s="71">
        <v>1</v>
      </c>
      <c r="C7" s="34" t="s">
        <v>100</v>
      </c>
      <c r="D7" s="72"/>
      <c r="E7" s="71" t="s">
        <v>13</v>
      </c>
      <c r="F7" s="71">
        <v>120</v>
      </c>
      <c r="G7" s="72"/>
      <c r="H7" s="34"/>
      <c r="I7" s="34"/>
      <c r="J7" s="34"/>
      <c r="K7" s="34" t="s">
        <v>18</v>
      </c>
      <c r="L7" s="73">
        <f>MAX(0,(L6-F7))</f>
        <v>9.3063448542509661</v>
      </c>
    </row>
    <row r="8" spans="1:12" x14ac:dyDescent="0.35">
      <c r="A8" s="76"/>
      <c r="B8" s="71"/>
      <c r="C8" s="34"/>
      <c r="D8" s="72"/>
      <c r="E8" s="71" t="s">
        <v>4</v>
      </c>
      <c r="F8" s="71">
        <v>0.01</v>
      </c>
      <c r="G8" s="72"/>
      <c r="H8" s="34"/>
      <c r="I8" s="34"/>
      <c r="J8" s="34"/>
      <c r="K8" s="34"/>
      <c r="L8" s="73"/>
    </row>
    <row r="9" spans="1:12" x14ac:dyDescent="0.35">
      <c r="A9" s="77" t="s">
        <v>93</v>
      </c>
      <c r="B9" s="71">
        <v>1</v>
      </c>
      <c r="C9" s="34" t="s">
        <v>94</v>
      </c>
      <c r="D9" s="72"/>
      <c r="E9" s="71" t="s">
        <v>17</v>
      </c>
      <c r="F9" s="81">
        <f>EXP(F5*SQRT(F6))</f>
        <v>1.0512710963760241</v>
      </c>
      <c r="G9" s="72"/>
      <c r="H9" s="34"/>
      <c r="I9" s="34"/>
      <c r="J9" s="34"/>
      <c r="K9" s="34"/>
      <c r="L9" s="73"/>
    </row>
    <row r="10" spans="1:12" x14ac:dyDescent="0.35">
      <c r="A10" s="76" t="s">
        <v>13</v>
      </c>
      <c r="B10" s="71">
        <v>120</v>
      </c>
      <c r="C10" s="34" t="s">
        <v>95</v>
      </c>
      <c r="D10" s="72"/>
      <c r="E10" s="71" t="s">
        <v>14</v>
      </c>
      <c r="F10" s="81">
        <f>1/F9</f>
        <v>0.9512294245007139</v>
      </c>
      <c r="G10" s="72"/>
      <c r="H10" s="34">
        <f>F4</f>
        <v>123</v>
      </c>
      <c r="I10" s="34"/>
      <c r="J10" s="34"/>
      <c r="K10" s="34"/>
      <c r="L10" s="73"/>
    </row>
    <row r="11" spans="1:12" x14ac:dyDescent="0.35">
      <c r="A11" s="76" t="s">
        <v>0</v>
      </c>
      <c r="B11" s="71">
        <v>123</v>
      </c>
      <c r="C11" s="34" t="s">
        <v>96</v>
      </c>
      <c r="D11" s="72"/>
      <c r="E11" s="71" t="s">
        <v>15</v>
      </c>
      <c r="F11" s="81">
        <f>(EXP(F8*F6)-F10)/(F9-F10)</f>
        <v>0.587962410871811</v>
      </c>
      <c r="G11" s="72"/>
      <c r="H11" s="34"/>
      <c r="I11" s="34"/>
      <c r="J11" s="34"/>
      <c r="K11" s="34"/>
      <c r="L11" s="73"/>
    </row>
    <row r="12" spans="1:12" x14ac:dyDescent="0.35">
      <c r="A12" s="76" t="s">
        <v>12</v>
      </c>
      <c r="B12" s="71">
        <v>1</v>
      </c>
      <c r="C12" s="34" t="s">
        <v>97</v>
      </c>
      <c r="D12" s="72"/>
      <c r="E12" s="71" t="s">
        <v>16</v>
      </c>
      <c r="F12" s="81">
        <f>1-F11</f>
        <v>0.412037589128189</v>
      </c>
      <c r="G12" s="72"/>
      <c r="H12" s="34"/>
      <c r="I12" s="34"/>
      <c r="J12" s="34"/>
      <c r="K12" s="34"/>
      <c r="L12" s="73">
        <f>H10*F10</f>
        <v>117.00121921358782</v>
      </c>
    </row>
    <row r="13" spans="1:12" x14ac:dyDescent="0.35">
      <c r="A13" s="77" t="s">
        <v>98</v>
      </c>
      <c r="B13" s="71"/>
      <c r="C13" s="34"/>
      <c r="D13" s="72"/>
      <c r="E13" s="71"/>
      <c r="F13" s="74"/>
      <c r="G13" s="54"/>
      <c r="H13" s="34"/>
      <c r="I13" s="34"/>
      <c r="J13" s="34"/>
      <c r="K13" s="34" t="s">
        <v>18</v>
      </c>
      <c r="L13" s="73">
        <f>MAX(0,(L12-F7))</f>
        <v>0</v>
      </c>
    </row>
    <row r="14" spans="1:12" x14ac:dyDescent="0.35">
      <c r="A14" s="78" t="s">
        <v>99</v>
      </c>
      <c r="B14" s="74">
        <v>5.4146063837152978</v>
      </c>
      <c r="C14" s="37"/>
      <c r="D14" s="54"/>
      <c r="E14" s="84" t="s">
        <v>19</v>
      </c>
      <c r="F14" s="37"/>
      <c r="G14" s="82">
        <f>(L7*F11+L13*F12)/(1+F8)</f>
        <v>5.4176049078315547</v>
      </c>
      <c r="H14" s="37"/>
      <c r="I14" s="37"/>
      <c r="J14" s="37"/>
      <c r="K14" s="37"/>
      <c r="L14" s="54"/>
    </row>
    <row r="15" spans="1:12" x14ac:dyDescent="0.35">
      <c r="A15" s="71"/>
      <c r="B15" s="34"/>
      <c r="C15" s="34"/>
      <c r="D15" s="72"/>
    </row>
    <row r="16" spans="1:12" x14ac:dyDescent="0.35">
      <c r="A16" s="71"/>
      <c r="B16" s="34"/>
      <c r="C16" s="34"/>
      <c r="D16" s="72"/>
      <c r="E16" s="90" t="s">
        <v>89</v>
      </c>
      <c r="F16" s="94" t="s">
        <v>104</v>
      </c>
      <c r="G16" s="92"/>
      <c r="H16" s="92"/>
      <c r="I16" s="92"/>
      <c r="J16" s="92"/>
      <c r="K16" s="92"/>
      <c r="L16" s="93"/>
    </row>
    <row r="17" spans="1:12" x14ac:dyDescent="0.35">
      <c r="A17" s="71"/>
      <c r="B17" s="34"/>
      <c r="C17" s="34"/>
      <c r="D17" s="72"/>
      <c r="E17" s="76" t="s">
        <v>0</v>
      </c>
      <c r="F17" s="71">
        <v>123</v>
      </c>
      <c r="G17" s="72"/>
      <c r="H17" s="34"/>
      <c r="I17" s="34"/>
      <c r="J17" s="34"/>
      <c r="K17" s="34"/>
      <c r="L17" s="72"/>
    </row>
    <row r="18" spans="1:12" x14ac:dyDescent="0.35">
      <c r="A18" s="71"/>
      <c r="B18" s="34"/>
      <c r="C18" s="34"/>
      <c r="D18" s="72"/>
      <c r="E18" s="76" t="s">
        <v>3</v>
      </c>
      <c r="F18" s="71">
        <v>0.05</v>
      </c>
      <c r="G18" s="72"/>
      <c r="H18" s="34"/>
      <c r="I18" s="34"/>
      <c r="J18" s="34"/>
      <c r="K18" s="34"/>
      <c r="L18" s="72"/>
    </row>
    <row r="19" spans="1:12" x14ac:dyDescent="0.35">
      <c r="A19" s="74"/>
      <c r="B19" s="37"/>
      <c r="C19" s="37"/>
      <c r="D19" s="54"/>
      <c r="E19" s="76" t="s">
        <v>12</v>
      </c>
      <c r="F19" s="71">
        <v>1</v>
      </c>
      <c r="G19" s="72"/>
      <c r="H19" s="34"/>
      <c r="I19" s="34"/>
      <c r="J19" s="34"/>
      <c r="K19" s="34"/>
      <c r="L19" s="73">
        <f>H23*F22</f>
        <v>129.30634485425097</v>
      </c>
    </row>
    <row r="20" spans="1:12" x14ac:dyDescent="0.35">
      <c r="E20" s="76" t="s">
        <v>13</v>
      </c>
      <c r="F20" s="71">
        <v>120</v>
      </c>
      <c r="G20" s="72"/>
      <c r="H20" s="34"/>
      <c r="I20" s="34"/>
      <c r="J20" s="34"/>
      <c r="K20" s="34" t="s">
        <v>18</v>
      </c>
      <c r="L20" s="73">
        <f>MAX(0,(F20-L19))</f>
        <v>0</v>
      </c>
    </row>
    <row r="21" spans="1:12" x14ac:dyDescent="0.35">
      <c r="E21" s="76" t="s">
        <v>4</v>
      </c>
      <c r="F21" s="71">
        <v>0.01</v>
      </c>
      <c r="G21" s="72"/>
      <c r="H21" s="34"/>
      <c r="I21" s="34"/>
      <c r="J21" s="34"/>
      <c r="K21" s="34"/>
      <c r="L21" s="73"/>
    </row>
    <row r="22" spans="1:12" x14ac:dyDescent="0.35">
      <c r="E22" s="76" t="s">
        <v>17</v>
      </c>
      <c r="F22" s="81">
        <f>EXP(F18*SQRT(F19))</f>
        <v>1.0512710963760241</v>
      </c>
      <c r="G22" s="72"/>
      <c r="H22" s="34"/>
      <c r="I22" s="34"/>
      <c r="J22" s="34"/>
      <c r="K22" s="34"/>
      <c r="L22" s="73"/>
    </row>
    <row r="23" spans="1:12" x14ac:dyDescent="0.35">
      <c r="E23" s="76" t="s">
        <v>14</v>
      </c>
      <c r="F23" s="81">
        <f>1/F22</f>
        <v>0.9512294245007139</v>
      </c>
      <c r="G23" s="72"/>
      <c r="H23" s="34">
        <f>F17</f>
        <v>123</v>
      </c>
      <c r="I23" s="34"/>
      <c r="J23" s="34"/>
      <c r="K23" s="34"/>
      <c r="L23" s="73"/>
    </row>
    <row r="24" spans="1:12" x14ac:dyDescent="0.35">
      <c r="E24" s="76" t="s">
        <v>15</v>
      </c>
      <c r="F24" s="81">
        <f>(EXP(F21*F19)-F23)/(F22-F23)</f>
        <v>0.587962410871811</v>
      </c>
      <c r="G24" s="72"/>
      <c r="H24" s="34"/>
      <c r="I24" s="34"/>
      <c r="J24" s="34"/>
      <c r="K24" s="34"/>
      <c r="L24" s="73"/>
    </row>
    <row r="25" spans="1:12" x14ac:dyDescent="0.35">
      <c r="E25" s="76" t="s">
        <v>16</v>
      </c>
      <c r="F25" s="81">
        <f>1-F24</f>
        <v>0.412037589128189</v>
      </c>
      <c r="G25" s="72"/>
      <c r="H25" s="34"/>
      <c r="I25" s="34"/>
      <c r="J25" s="34"/>
      <c r="K25" s="34"/>
      <c r="L25" s="73">
        <f>H23*F23</f>
        <v>117.00121921358782</v>
      </c>
    </row>
    <row r="26" spans="1:12" x14ac:dyDescent="0.35">
      <c r="E26" s="79"/>
      <c r="F26" s="74"/>
      <c r="G26" s="54"/>
      <c r="H26" s="34"/>
      <c r="I26" s="34"/>
      <c r="J26" s="34"/>
      <c r="K26" s="34" t="s">
        <v>18</v>
      </c>
      <c r="L26" s="73">
        <f>MAX(0,(F20-L25))</f>
        <v>2.9987807864121834</v>
      </c>
    </row>
    <row r="27" spans="1:12" x14ac:dyDescent="0.35">
      <c r="E27" s="84" t="s">
        <v>91</v>
      </c>
      <c r="F27" s="85"/>
      <c r="G27" s="83">
        <f>(L20*F24+L26*F25)/(1+F21)</f>
        <v>1.2233766391655552</v>
      </c>
      <c r="H27" s="37"/>
      <c r="I27" s="37"/>
      <c r="J27" s="37"/>
      <c r="K27" s="37"/>
      <c r="L27" s="54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Module2.priceprog">
                <anchor moveWithCells="1" sizeWithCells="1">
                  <from>
                    <xdr:col>1</xdr:col>
                    <xdr:colOff>0</xdr:colOff>
                    <xdr:row>15</xdr:row>
                    <xdr:rowOff>25400</xdr:rowOff>
                  </from>
                  <to>
                    <xdr:col>2</xdr:col>
                    <xdr:colOff>361950</xdr:colOff>
                    <xdr:row>18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12</vt:i4>
      </vt:variant>
    </vt:vector>
  </HeadingPairs>
  <TitlesOfParts>
    <vt:vector size="17" baseType="lpstr">
      <vt:lpstr>MSFT</vt:lpstr>
      <vt:lpstr>Black_Scholes</vt:lpstr>
      <vt:lpstr>Black_Scholes_2</vt:lpstr>
      <vt:lpstr>Black_Scholes_VBA</vt:lpstr>
      <vt:lpstr>Binomial_model</vt:lpstr>
      <vt:lpstr>Dividend</vt:lpstr>
      <vt:lpstr>Dividend_Yield</vt:lpstr>
      <vt:lpstr>Dividend2</vt:lpstr>
      <vt:lpstr>Risk_Free_Rate</vt:lpstr>
      <vt:lpstr>RiskFreeRate</vt:lpstr>
      <vt:lpstr>Stock_Price</vt:lpstr>
      <vt:lpstr>StockPrice</vt:lpstr>
      <vt:lpstr>Strike_Price</vt:lpstr>
      <vt:lpstr>Time_To_Expiry</vt:lpstr>
      <vt:lpstr>TimeToExpiry</vt:lpstr>
      <vt:lpstr>Volatility</vt:lpstr>
      <vt:lpstr>Volatility2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Tiberiu2</dc:creator>
  <cp:lastModifiedBy>Wen Jiang</cp:lastModifiedBy>
  <dcterms:created xsi:type="dcterms:W3CDTF">2015-03-28T07:25:46Z</dcterms:created>
  <dcterms:modified xsi:type="dcterms:W3CDTF">2018-04-22T18:06:14Z</dcterms:modified>
</cp:coreProperties>
</file>